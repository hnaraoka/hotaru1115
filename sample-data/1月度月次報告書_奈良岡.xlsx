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eadcef670dc7dc27/デスクトップ/自社/月次報告書/月次報告書作成アプリ（Web版）/読み込み用サンプル/"/>
    </mc:Choice>
  </mc:AlternateContent>
  <xr:revisionPtr revIDLastSave="0" documentId="13_ncr:1_{1DDCECF4-AEFE-44A0-990F-46474DDE2B34}" xr6:coauthVersionLast="47" xr6:coauthVersionMax="47" xr10:uidLastSave="{00000000-0000-0000-0000-000000000000}"/>
  <bookViews>
    <workbookView xWindow="-120" yWindow="-120" windowWidth="29040" windowHeight="15720" xr2:uid="{1D5A914B-4913-4B85-831A-FDFDF38C9D21}"/>
  </bookViews>
  <sheets>
    <sheet name="職務経歴" sheetId="1" r:id="rId1"/>
    <sheet name="マスタ" sheetId="3" r:id="rId2"/>
    <sheet name="誕生日" sheetId="2" r:id="rId3"/>
  </sheets>
  <definedNames>
    <definedName name="DB">OFFSET(マスタ!$D$2,0,0,COUNTA(マスタ!$D:$D),1)</definedName>
    <definedName name="FW">OFFSET(マスタ!$C$2,0,0,COUNTA(マスタ!$C:$C),1)</definedName>
    <definedName name="OS">OFFSET(マスタ!$F$2,0,0,COUNTA(マスタ!$F:$F),1)</definedName>
    <definedName name="_xlnm.Print_Area" localSheetId="0">職務経歴!$A$1:$AI$56</definedName>
    <definedName name="ソフトウェアツール">OFFSET(マスタ!$E$2,0,0,COUNTA(マスタ!$E:$E),1)</definedName>
    <definedName name="規模">OFFSET(マスタ!$H$2,0,0,COUNTA(マスタ!$H:$H),1)</definedName>
    <definedName name="言語">OFFSET(マスタ!$B$2,0,0,COUNTA(マスタ!$B:$B),1)</definedName>
    <definedName name="資格">OFFSET(マスタ!$A$2,0,0,COUNTA(マスタ!$A:$A),1)</definedName>
    <definedName name="役割">OFFSET(マスタ!$G$2,0,0,COUNTA(マスタ!$G:$G),1)</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8" i="1" l="1"/>
  <c r="G7" i="1"/>
  <c r="AM55" i="1"/>
  <c r="AE3" i="1"/>
  <c r="S5" i="1" l="1"/>
  <c r="B34" i="1"/>
</calcChain>
</file>

<file path=xl/sharedStrings.xml><?xml version="1.0" encoding="utf-8"?>
<sst xmlns="http://schemas.openxmlformats.org/spreadsheetml/2006/main" count="273" uniqueCount="244">
  <si>
    <t>性別</t>
    <rPh sb="0" eb="2">
      <t>セイベツ</t>
    </rPh>
    <phoneticPr fontId="1"/>
  </si>
  <si>
    <t>年齢</t>
    <rPh sb="0" eb="2">
      <t>ネンレイ</t>
    </rPh>
    <phoneticPr fontId="1"/>
  </si>
  <si>
    <t>資格</t>
    <rPh sb="0" eb="2">
      <t>シカク</t>
    </rPh>
    <phoneticPr fontId="1"/>
  </si>
  <si>
    <t>言語</t>
    <rPh sb="0" eb="2">
      <t>ゲンゴ</t>
    </rPh>
    <phoneticPr fontId="1"/>
  </si>
  <si>
    <t>Java</t>
  </si>
  <si>
    <t>DB</t>
    <phoneticPr fontId="1"/>
  </si>
  <si>
    <t>MySQL</t>
  </si>
  <si>
    <t>IntelliJ IDEA</t>
  </si>
  <si>
    <t>DBeaver</t>
  </si>
  <si>
    <t>期間</t>
    <rPh sb="0" eb="2">
      <t>キカン</t>
    </rPh>
    <phoneticPr fontId="1"/>
  </si>
  <si>
    <t>開発工程</t>
    <rPh sb="0" eb="2">
      <t>カイハツ</t>
    </rPh>
    <rPh sb="2" eb="4">
      <t>コウテイ</t>
    </rPh>
    <phoneticPr fontId="1"/>
  </si>
  <si>
    <t>生年月日</t>
    <rPh sb="0" eb="2">
      <t>セイネン</t>
    </rPh>
    <rPh sb="2" eb="4">
      <t>ガッピ</t>
    </rPh>
    <phoneticPr fontId="1"/>
  </si>
  <si>
    <t>A5:SQL Mk-2</t>
  </si>
  <si>
    <t>AWS</t>
  </si>
  <si>
    <t>C#</t>
  </si>
  <si>
    <t>MongoDB</t>
  </si>
  <si>
    <t>Bitbucket</t>
  </si>
  <si>
    <t>Django</t>
  </si>
  <si>
    <t>Confluence</t>
  </si>
  <si>
    <t>Eclipse</t>
  </si>
  <si>
    <t>Oracle</t>
  </si>
  <si>
    <t>React</t>
  </si>
  <si>
    <t>PostgreSQL</t>
  </si>
  <si>
    <t>Ruby on Rails</t>
  </si>
  <si>
    <t>Kotlin</t>
  </si>
  <si>
    <t>Illustrator</t>
  </si>
  <si>
    <t>JIRA</t>
  </si>
  <si>
    <t>Spring</t>
  </si>
  <si>
    <t>Perl</t>
  </si>
  <si>
    <t>PHP</t>
  </si>
  <si>
    <t>Python</t>
  </si>
  <si>
    <t>Photoshop</t>
  </si>
  <si>
    <t>Ruby</t>
  </si>
  <si>
    <t>Scala</t>
  </si>
  <si>
    <t>RubyMine</t>
  </si>
  <si>
    <t>Tera Term</t>
  </si>
  <si>
    <t>Swift</t>
  </si>
  <si>
    <t>WinSCP</t>
  </si>
  <si>
    <t>LinuC レベル1</t>
  </si>
  <si>
    <t>Xcode</t>
  </si>
  <si>
    <t>←ここに誕生日入力</t>
    <phoneticPr fontId="1"/>
  </si>
  <si>
    <t>FW</t>
    <phoneticPr fontId="1"/>
  </si>
  <si>
    <t>JavaScript</t>
  </si>
  <si>
    <t>C言語</t>
  </si>
  <si>
    <t>R言語</t>
  </si>
  <si>
    <t>TypeScript</t>
  </si>
  <si>
    <t>MS Access</t>
  </si>
  <si>
    <t>SQLite</t>
  </si>
  <si>
    <t>Cassandra</t>
  </si>
  <si>
    <t>DynamoDB</t>
  </si>
  <si>
    <t>Struts</t>
  </si>
  <si>
    <t>Java EE</t>
  </si>
  <si>
    <t>Play</t>
  </si>
  <si>
    <t>Vue.js</t>
  </si>
  <si>
    <t>React Native</t>
  </si>
  <si>
    <t>Nuxt.js</t>
  </si>
  <si>
    <t>Next.js</t>
  </si>
  <si>
    <t>jQuery</t>
  </si>
  <si>
    <t>Express.js</t>
  </si>
  <si>
    <t>Flask</t>
  </si>
  <si>
    <t>CakePHP</t>
  </si>
  <si>
    <t>Laravel</t>
  </si>
  <si>
    <t>Bootstrap</t>
  </si>
  <si>
    <t>Flutter</t>
  </si>
  <si>
    <t>基本設計</t>
    <rPh sb="0" eb="2">
      <t>キホン</t>
    </rPh>
    <rPh sb="2" eb="4">
      <t>セッケイ</t>
    </rPh>
    <phoneticPr fontId="1"/>
  </si>
  <si>
    <t>詳細設計</t>
    <rPh sb="0" eb="2">
      <t>ショウサイ</t>
    </rPh>
    <rPh sb="2" eb="4">
      <t>セッケイ</t>
    </rPh>
    <phoneticPr fontId="1"/>
  </si>
  <si>
    <t>製造</t>
    <rPh sb="0" eb="2">
      <t>セイゾウ</t>
    </rPh>
    <phoneticPr fontId="1"/>
  </si>
  <si>
    <t>単体テスト</t>
    <rPh sb="0" eb="2">
      <t>タンタイ</t>
    </rPh>
    <phoneticPr fontId="1"/>
  </si>
  <si>
    <t>結合テスト</t>
    <rPh sb="0" eb="2">
      <t>ケツゴウ</t>
    </rPh>
    <phoneticPr fontId="1"/>
  </si>
  <si>
    <t>総合テスト</t>
    <rPh sb="0" eb="2">
      <t>ソウゴウ</t>
    </rPh>
    <phoneticPr fontId="1"/>
  </si>
  <si>
    <t>保守・運用</t>
    <rPh sb="0" eb="2">
      <t>ホシュ</t>
    </rPh>
    <rPh sb="3" eb="5">
      <t>ウンヨウ</t>
    </rPh>
    <phoneticPr fontId="1"/>
  </si>
  <si>
    <t>～</t>
    <phoneticPr fontId="1"/>
  </si>
  <si>
    <t>規模</t>
    <rPh sb="0" eb="2">
      <t>キボ</t>
    </rPh>
    <phoneticPr fontId="1"/>
  </si>
  <si>
    <t>名称</t>
    <rPh sb="0" eb="2">
      <t>メイショウ</t>
    </rPh>
    <phoneticPr fontId="1"/>
  </si>
  <si>
    <t>Android Studio</t>
  </si>
  <si>
    <t>MS Teams</t>
  </si>
  <si>
    <t>Slack</t>
  </si>
  <si>
    <t>SourceTree</t>
  </si>
  <si>
    <t>Azure</t>
  </si>
  <si>
    <t>Zoom</t>
  </si>
  <si>
    <t>Redmine</t>
  </si>
  <si>
    <t>Linux</t>
  </si>
  <si>
    <t>人数</t>
    <rPh sb="0" eb="2">
      <t>ニンズウ</t>
    </rPh>
    <phoneticPr fontId="1"/>
  </si>
  <si>
    <t>チーム数</t>
    <rPh sb="3" eb="4">
      <t>スウ</t>
    </rPh>
    <phoneticPr fontId="1"/>
  </si>
  <si>
    <t>テーブル数</t>
    <rPh sb="4" eb="5">
      <t>スウ</t>
    </rPh>
    <phoneticPr fontId="1"/>
  </si>
  <si>
    <t>画面数</t>
    <rPh sb="0" eb="3">
      <t>ガメンスウ</t>
    </rPh>
    <phoneticPr fontId="1"/>
  </si>
  <si>
    <t>API処理数</t>
    <rPh sb="3" eb="6">
      <t>ショリスウ</t>
    </rPh>
    <phoneticPr fontId="1"/>
  </si>
  <si>
    <t>役割</t>
    <rPh sb="0" eb="2">
      <t>ヤクワリ</t>
    </rPh>
    <phoneticPr fontId="1"/>
  </si>
  <si>
    <t>PM</t>
    <phoneticPr fontId="1"/>
  </si>
  <si>
    <t>PL</t>
    <phoneticPr fontId="1"/>
  </si>
  <si>
    <t>TL</t>
    <phoneticPr fontId="1"/>
  </si>
  <si>
    <t>サブリーダー</t>
    <phoneticPr fontId="1"/>
  </si>
  <si>
    <t>メンバー</t>
    <phoneticPr fontId="1"/>
  </si>
  <si>
    <t>要件定義</t>
    <phoneticPr fontId="1"/>
  </si>
  <si>
    <t>顧客折衝</t>
    <phoneticPr fontId="1"/>
  </si>
  <si>
    <t>ソフトウェア/ツール</t>
    <phoneticPr fontId="1"/>
  </si>
  <si>
    <t>Android</t>
  </si>
  <si>
    <t>iOS</t>
  </si>
  <si>
    <t>macOS</t>
  </si>
  <si>
    <t>Windows</t>
  </si>
  <si>
    <t>月次報告書</t>
    <rPh sb="0" eb="2">
      <t>ゲツジ</t>
    </rPh>
    <rPh sb="2" eb="5">
      <t>ホウコクショ</t>
    </rPh>
    <phoneticPr fontId="1"/>
  </si>
  <si>
    <t>提出者</t>
    <rPh sb="0" eb="3">
      <t>テイシュツシャ</t>
    </rPh>
    <phoneticPr fontId="1"/>
  </si>
  <si>
    <t>対象月</t>
    <rPh sb="0" eb="3">
      <t>タイショウツキ</t>
    </rPh>
    <phoneticPr fontId="1"/>
  </si>
  <si>
    <t>現在</t>
    <rPh sb="0" eb="2">
      <t>ゲンザイ</t>
    </rPh>
    <phoneticPr fontId="1"/>
  </si>
  <si>
    <t>Rust</t>
  </si>
  <si>
    <t>Objective-C</t>
  </si>
  <si>
    <t>Solidity</t>
  </si>
  <si>
    <t>Elixir</t>
  </si>
  <si>
    <t>VBA</t>
  </si>
  <si>
    <t>PowerShell</t>
  </si>
  <si>
    <t>Angular</t>
  </si>
  <si>
    <t>FastAPI</t>
  </si>
  <si>
    <t>ASP.NET Core</t>
  </si>
  <si>
    <t>Tailwind CSS</t>
  </si>
  <si>
    <t>Svelte</t>
  </si>
  <si>
    <t>Gin</t>
  </si>
  <si>
    <t>Echo</t>
  </si>
  <si>
    <t>Symfony</t>
  </si>
  <si>
    <t>PyTorch</t>
  </si>
  <si>
    <t>TensorFlow</t>
  </si>
  <si>
    <t>Nest.js</t>
    <phoneticPr fontId="1"/>
  </si>
  <si>
    <t>Redis</t>
  </si>
  <si>
    <t>Memcached</t>
  </si>
  <si>
    <t>Snowflake</t>
  </si>
  <si>
    <t>BigQuery</t>
  </si>
  <si>
    <t>Redshift</t>
  </si>
  <si>
    <t>Elasticsearch</t>
  </si>
  <si>
    <t>MariaDB</t>
  </si>
  <si>
    <t>Firestore</t>
  </si>
  <si>
    <t>Cosmos DB</t>
  </si>
  <si>
    <t>Docker</t>
  </si>
  <si>
    <t>Kubernetes</t>
  </si>
  <si>
    <t>Postman</t>
  </si>
  <si>
    <t>Jenkins</t>
  </si>
  <si>
    <t>Figma</t>
  </si>
  <si>
    <t>Notion</t>
  </si>
  <si>
    <t>Visual Studio</t>
  </si>
  <si>
    <t>C++</t>
  </si>
  <si>
    <t>COBOL</t>
  </si>
  <si>
    <t>Dart</t>
  </si>
  <si>
    <t>Shell</t>
  </si>
  <si>
    <t>SQL</t>
  </si>
  <si>
    <t>XenServer</t>
  </si>
  <si>
    <t>OS/クラウド/開発環境</t>
    <rPh sb="8" eb="12">
      <t>カイハツカンキョウ</t>
    </rPh>
    <phoneticPr fontId="1"/>
  </si>
  <si>
    <t>PyCharm</t>
  </si>
  <si>
    <t>Visual Studio Code</t>
  </si>
  <si>
    <t>Go</t>
  </si>
  <si>
    <t>HTML / CSS</t>
  </si>
  <si>
    <t>VB.NET</t>
  </si>
  <si>
    <t>Spring Boot</t>
  </si>
  <si>
    <t>SQL Server</t>
  </si>
  <si>
    <t>Git / GitHub</t>
  </si>
  <si>
    <t>GitLab</t>
  </si>
  <si>
    <t>GitHub Actions</t>
  </si>
  <si>
    <t>Draw.io</t>
  </si>
  <si>
    <t>Backlog</t>
  </si>
  <si>
    <t>HubSpot</t>
  </si>
  <si>
    <t>Excel / Word / PPT</t>
  </si>
  <si>
    <t>GCP (Google Cloud)</t>
  </si>
  <si>
    <t>Firebase</t>
  </si>
  <si>
    <t>Vercel</t>
  </si>
  <si>
    <t>WSL</t>
  </si>
  <si>
    <t>VMware</t>
  </si>
  <si>
    <t>Marketo</t>
    <phoneticPr fontId="1"/>
  </si>
  <si>
    <t>Salesforce</t>
    <phoneticPr fontId="1"/>
  </si>
  <si>
    <t>Shopify</t>
    <phoneticPr fontId="1"/>
  </si>
  <si>
    <t>WordPress</t>
    <phoneticPr fontId="1"/>
  </si>
  <si>
    <t>Swagger</t>
    <phoneticPr fontId="1"/>
  </si>
  <si>
    <t>システムアーキテクト試験</t>
  </si>
  <si>
    <t>プロジェクトマネージャ試験</t>
  </si>
  <si>
    <t>ネットワークスペシャリスト試験</t>
  </si>
  <si>
    <t>データベーススペシャリスト試験</t>
  </si>
  <si>
    <t>応用情報技術者試験</t>
  </si>
  <si>
    <t>基本情報技術者試験</t>
  </si>
  <si>
    <t>Google Cloud Professional Cloud Architect</t>
  </si>
  <si>
    <t>Microsoft Azure Solutions Architect Expert</t>
  </si>
  <si>
    <t>情報処理安全確保支援士試験</t>
  </si>
  <si>
    <t>Cisco Certified Network Professional (CCNP)</t>
  </si>
  <si>
    <t>Cisco Certified Network Associate (CCNA)</t>
  </si>
  <si>
    <t>LinuC レベル3</t>
  </si>
  <si>
    <t>LinuC レベル2</t>
  </si>
  <si>
    <t>LPIC-3</t>
  </si>
  <si>
    <t>LPIC-2</t>
  </si>
  <si>
    <t>LPIC-1</t>
  </si>
  <si>
    <t>AWS Certified Solutions Architect - Professional</t>
  </si>
  <si>
    <t>AWS Certified Solutions Architect - Associate</t>
  </si>
  <si>
    <t>AWS Certified Cloud Practitioner</t>
  </si>
  <si>
    <t>Google Cloud Associate Cloud Engineer</t>
  </si>
  <si>
    <t>Microsoft Azure Administrator Associate</t>
  </si>
  <si>
    <t>Oracle Certified Java Programmer, Gold SE 11</t>
  </si>
  <si>
    <t>Oracle Certified Java Programmer, Silver SE 11</t>
  </si>
  <si>
    <t>Python 3 エンジニア認定データ分析試験</t>
  </si>
  <si>
    <t>Python 3 エンジニア認定基礎試験</t>
  </si>
  <si>
    <t>OSS-DB Exam Gold</t>
  </si>
  <si>
    <t>OSS-DB Exam Silver</t>
  </si>
  <si>
    <t>HTML5プロフェッショナル認定試験 レベル2</t>
  </si>
  <si>
    <t>HTML5プロフェッショナル認定試験 レベル1</t>
  </si>
  <si>
    <t>統計検定 1級</t>
  </si>
  <si>
    <t>統計検定 2級</t>
  </si>
  <si>
    <t>OS/クラウド/開発環境</t>
    <phoneticPr fontId="1"/>
  </si>
  <si>
    <t>成果物</t>
    <rPh sb="0" eb="3">
      <t>セイカブツ</t>
    </rPh>
    <phoneticPr fontId="1"/>
  </si>
  <si>
    <t>参画先企業</t>
    <rPh sb="0" eb="3">
      <t>サンカクサキ</t>
    </rPh>
    <rPh sb="3" eb="5">
      <t>キギョウ</t>
    </rPh>
    <phoneticPr fontId="1"/>
  </si>
  <si>
    <t>作業場所</t>
    <rPh sb="0" eb="4">
      <t>サギョウバショ</t>
    </rPh>
    <phoneticPr fontId="1"/>
  </si>
  <si>
    <t>作業配分</t>
    <rPh sb="0" eb="4">
      <t>サギョウハイブン</t>
    </rPh>
    <phoneticPr fontId="1"/>
  </si>
  <si>
    <t>項目</t>
    <rPh sb="0" eb="2">
      <t>コウモク</t>
    </rPh>
    <phoneticPr fontId="1"/>
  </si>
  <si>
    <t>割合</t>
    <rPh sb="0" eb="2">
      <t>ワリアイ</t>
    </rPh>
    <phoneticPr fontId="1"/>
  </si>
  <si>
    <t>打ち合わせ</t>
    <rPh sb="0" eb="1">
      <t>ウ</t>
    </rPh>
    <rPh sb="2" eb="3">
      <t>ア</t>
    </rPh>
    <phoneticPr fontId="1"/>
  </si>
  <si>
    <t>レビュー</t>
    <phoneticPr fontId="1"/>
  </si>
  <si>
    <t>管理</t>
    <rPh sb="0" eb="2">
      <t>カンリ</t>
    </rPh>
    <phoneticPr fontId="1"/>
  </si>
  <si>
    <t>その他</t>
    <rPh sb="2" eb="3">
      <t>タ</t>
    </rPh>
    <phoneticPr fontId="1"/>
  </si>
  <si>
    <t>計</t>
    <rPh sb="0" eb="1">
      <t>ケイ</t>
    </rPh>
    <phoneticPr fontId="1"/>
  </si>
  <si>
    <t>提出日：</t>
    <rPh sb="0" eb="3">
      <t>テイシュツビ</t>
    </rPh>
    <phoneticPr fontId="1"/>
  </si>
  <si>
    <t>経験年数</t>
    <rPh sb="0" eb="4">
      <t>ケイケンネンスウ</t>
    </rPh>
    <phoneticPr fontId="1"/>
  </si>
  <si>
    <t>3年</t>
    <rPh sb="1" eb="2">
      <t>ネン</t>
    </rPh>
    <phoneticPr fontId="1"/>
  </si>
  <si>
    <t>体調</t>
    <rPh sb="0" eb="2">
      <t>タイチョウ</t>
    </rPh>
    <phoneticPr fontId="1"/>
  </si>
  <si>
    <t>モチベーション</t>
    <phoneticPr fontId="1"/>
  </si>
  <si>
    <t>業務量</t>
    <rPh sb="0" eb="3">
      <t>ギョウムリョウ</t>
    </rPh>
    <phoneticPr fontId="1"/>
  </si>
  <si>
    <t>チーム内の相談しやすさ</t>
    <rPh sb="3" eb="4">
      <t>ナイ</t>
    </rPh>
    <rPh sb="5" eb="7">
      <t>ソウダン</t>
    </rPh>
    <phoneticPr fontId="1"/>
  </si>
  <si>
    <t>成長実感</t>
    <rPh sb="0" eb="4">
      <t>セイチョウジッカン</t>
    </rPh>
    <phoneticPr fontId="1"/>
  </si>
  <si>
    <t>業務難易度</t>
    <rPh sb="0" eb="5">
      <t>ギョウムナンイド</t>
    </rPh>
    <phoneticPr fontId="1"/>
  </si>
  <si>
    <t>月間実労働</t>
    <rPh sb="0" eb="2">
      <t>ゲッカン</t>
    </rPh>
    <rPh sb="2" eb="5">
      <t>ジツロウドウ</t>
    </rPh>
    <phoneticPr fontId="1"/>
  </si>
  <si>
    <t>プロジェクト名／作業内容</t>
    <rPh sb="6" eb="7">
      <t>メイ</t>
    </rPh>
    <rPh sb="8" eb="10">
      <t>サギョウ</t>
    </rPh>
    <rPh sb="10" eb="12">
      <t>ナイヨウ</t>
    </rPh>
    <phoneticPr fontId="1"/>
  </si>
  <si>
    <t>日数</t>
    <rPh sb="0" eb="2">
      <t>ニッスウ</t>
    </rPh>
    <phoneticPr fontId="1"/>
  </si>
  <si>
    <t>時間</t>
    <rPh sb="0" eb="2">
      <t>ジカン</t>
    </rPh>
    <phoneticPr fontId="1"/>
  </si>
  <si>
    <t>テレワーク</t>
    <phoneticPr fontId="1"/>
  </si>
  <si>
    <t>現場</t>
    <rPh sb="0" eb="2">
      <t>ゲンバ</t>
    </rPh>
    <phoneticPr fontId="1"/>
  </si>
  <si>
    <t>今月の困った点と
対応・解決方法</t>
    <rPh sb="3" eb="4">
      <t>コマ</t>
    </rPh>
    <rPh sb="6" eb="7">
      <t>テン</t>
    </rPh>
    <rPh sb="12" eb="14">
      <t>カイケツ</t>
    </rPh>
    <rPh sb="14" eb="16">
      <t>ホウホウソウダンジコウ</t>
    </rPh>
    <phoneticPr fontId="1"/>
  </si>
  <si>
    <t>今月の良かった点/
改善提案など</t>
    <rPh sb="0" eb="2">
      <t>コンゲツ</t>
    </rPh>
    <rPh sb="3" eb="4">
      <t>ヨ</t>
    </rPh>
    <rPh sb="7" eb="8">
      <t>テン</t>
    </rPh>
    <phoneticPr fontId="1"/>
  </si>
  <si>
    <t>テスト　ほたる</t>
    <phoneticPr fontId="1"/>
  </si>
  <si>
    <t>男性</t>
  </si>
  <si>
    <t>20日</t>
    <rPh sb="2" eb="3">
      <t>ニチ</t>
    </rPh>
    <phoneticPr fontId="1"/>
  </si>
  <si>
    <t>175時間</t>
    <rPh sb="3" eb="5">
      <t>ジカン</t>
    </rPh>
    <phoneticPr fontId="1"/>
  </si>
  <si>
    <t>10日</t>
    <rPh sb="2" eb="3">
      <t>ニチ</t>
    </rPh>
    <phoneticPr fontId="1"/>
  </si>
  <si>
    <t>プロジェクト名テスト</t>
    <rPh sb="6" eb="7">
      <t>メイ</t>
    </rPh>
    <phoneticPr fontId="1"/>
  </si>
  <si>
    <t>作業内容てすと１
作業内容てすと２
作業内容てすと３
作業内容てすと４
作業内容てすと５</t>
    <rPh sb="0" eb="4">
      <t>サギョウナイヨウ</t>
    </rPh>
    <phoneticPr fontId="1"/>
  </si>
  <si>
    <t>〇</t>
  </si>
  <si>
    <t>成果物テストあああああああああああああああああああああああああああああああああああああああああああああああああああああああああああああああああああああああああああ
成果物テストいいいいいいいいいいいい
成果物テストうううううううううううう</t>
    <rPh sb="0" eb="3">
      <t>セイカブツ</t>
    </rPh>
    <rPh sb="82" eb="85">
      <t>セイカブツ</t>
    </rPh>
    <phoneticPr fontId="1"/>
  </si>
  <si>
    <t>今月の困った点あああああああああああ
今月の困った点いいいいいいいいいいい
今月の困った点うううううううううううううううううううううううううううううううううううううううううううううううううううううううううううううううううううううううううううううううううううう</t>
    <rPh sb="0" eb="2">
      <t>コンゲツ</t>
    </rPh>
    <rPh sb="3" eb="4">
      <t>コマ</t>
    </rPh>
    <rPh sb="6" eb="7">
      <t>テン</t>
    </rPh>
    <phoneticPr fontId="1"/>
  </si>
  <si>
    <t>良かった点嗚呼アアアアアアアアアアアアアアアアアアアアアアアアアアアああああああああああああああああああああああああああああああああああああああああああああああああああああああああああああああああ
いいいいいいいいいいいいいいいいいいいいいいいいいいいいいいいいいいいいいいいい</t>
    <rPh sb="0" eb="1">
      <t>ヨ</t>
    </rPh>
    <rPh sb="4" eb="5">
      <t>テン</t>
    </rPh>
    <rPh sb="5" eb="7">
      <t>アア</t>
    </rPh>
    <phoneticPr fontId="1"/>
  </si>
  <si>
    <t>良い</t>
  </si>
  <si>
    <t>大変良い</t>
  </si>
  <si>
    <t>普通</t>
  </si>
  <si>
    <t>少し懸念あり</t>
  </si>
  <si>
    <t>要注意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</si>
</sst>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_);[Red]\(0\)"/>
    <numFmt numFmtId="177" formatCode="General&quot;ヶ月&quot;"/>
    <numFmt numFmtId="178" formatCode="[$-F800]dddd\,\ mmmm\ dd\,\ yyyy"/>
  </numFmts>
  <fonts count="9" x14ac:knownFonts="1">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sz val="10"/>
      <color theme="1"/>
      <name val="游ゴシック"/>
      <family val="3"/>
      <charset val="128"/>
      <scheme val="minor"/>
    </font>
    <font>
      <b/>
      <sz val="10"/>
      <name val="游ゴシック"/>
      <family val="3"/>
      <charset val="128"/>
      <scheme val="minor"/>
    </font>
    <font>
      <b/>
      <sz val="10"/>
      <color theme="1"/>
      <name val="游ゴシック"/>
      <family val="3"/>
      <charset val="128"/>
      <scheme val="minor"/>
    </font>
    <font>
      <sz val="10"/>
      <name val="游ゴシック"/>
      <family val="3"/>
      <charset val="128"/>
      <scheme val="minor"/>
    </font>
    <font>
      <b/>
      <sz val="9"/>
      <name val="游ゴシック"/>
      <family val="3"/>
      <charset val="128"/>
      <scheme val="minor"/>
    </font>
    <font>
      <b/>
      <sz val="14"/>
      <color theme="1"/>
      <name val="游ゴシック"/>
      <family val="3"/>
      <charset val="128"/>
      <scheme val="minor"/>
    </font>
  </fonts>
  <fills count="6">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theme="6" tint="0.79998168889431442"/>
        <bgColor indexed="64"/>
      </patternFill>
    </fill>
    <fill>
      <patternFill patternType="solid">
        <fgColor theme="2"/>
        <bgColor indexed="64"/>
      </patternFill>
    </fill>
  </fills>
  <borders count="6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top style="medium">
        <color indexed="64"/>
      </top>
      <bottom/>
      <diagonal/>
    </border>
    <border>
      <left style="hair">
        <color auto="1"/>
      </left>
      <right style="hair">
        <color auto="1"/>
      </right>
      <top style="thin">
        <color indexed="64"/>
      </top>
      <bottom style="hair">
        <color auto="1"/>
      </bottom>
      <diagonal/>
    </border>
    <border>
      <left style="hair">
        <color auto="1"/>
      </left>
      <right style="hair">
        <color auto="1"/>
      </right>
      <top style="hair">
        <color auto="1"/>
      </top>
      <bottom style="hair">
        <color auto="1"/>
      </bottom>
      <diagonal/>
    </border>
    <border>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medium">
        <color indexed="64"/>
      </left>
      <right style="thin">
        <color indexed="64"/>
      </right>
      <top/>
      <bottom style="thin">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style="thin">
        <color indexed="64"/>
      </left>
      <right style="hair">
        <color indexed="64"/>
      </right>
      <top/>
      <bottom style="hair">
        <color indexed="64"/>
      </bottom>
      <diagonal/>
    </border>
    <border>
      <left style="hair">
        <color auto="1"/>
      </left>
      <right style="hair">
        <color auto="1"/>
      </right>
      <top/>
      <bottom style="hair">
        <color auto="1"/>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auto="1"/>
      </top>
      <bottom style="thin">
        <color indexed="64"/>
      </bottom>
      <diagonal/>
    </border>
    <border>
      <left style="hair">
        <color auto="1"/>
      </left>
      <right style="medium">
        <color indexed="64"/>
      </right>
      <top style="thin">
        <color indexed="64"/>
      </top>
      <bottom style="hair">
        <color auto="1"/>
      </bottom>
      <diagonal/>
    </border>
    <border>
      <left style="hair">
        <color auto="1"/>
      </left>
      <right style="medium">
        <color indexed="64"/>
      </right>
      <top/>
      <bottom style="hair">
        <color auto="1"/>
      </bottom>
      <diagonal/>
    </border>
    <border>
      <left style="hair">
        <color auto="1"/>
      </left>
      <right style="medium">
        <color indexed="64"/>
      </right>
      <top style="hair">
        <color auto="1"/>
      </top>
      <bottom style="hair">
        <color auto="1"/>
      </bottom>
      <diagonal/>
    </border>
    <border>
      <left style="hair">
        <color indexed="64"/>
      </left>
      <right style="medium">
        <color indexed="64"/>
      </right>
      <top style="hair">
        <color auto="1"/>
      </top>
      <bottom style="thin">
        <color indexed="64"/>
      </bottom>
      <diagonal/>
    </border>
    <border>
      <left/>
      <right style="thin">
        <color indexed="64"/>
      </right>
      <top style="thin">
        <color indexed="64"/>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thin">
        <color indexed="64"/>
      </right>
      <top/>
      <bottom style="medium">
        <color indexed="64"/>
      </bottom>
      <diagonal/>
    </border>
    <border>
      <left style="medium">
        <color indexed="64"/>
      </left>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style="medium">
        <color indexed="64"/>
      </left>
      <right/>
      <top style="medium">
        <color indexed="64"/>
      </top>
      <bottom style="thin">
        <color indexed="64"/>
      </bottom>
      <diagonal/>
    </border>
    <border>
      <left/>
      <right/>
      <top/>
      <bottom style="hair">
        <color auto="1"/>
      </bottom>
      <diagonal/>
    </border>
    <border>
      <left/>
      <right style="thin">
        <color indexed="64"/>
      </right>
      <top/>
      <bottom style="hair">
        <color auto="1"/>
      </bottom>
      <diagonal/>
    </border>
    <border>
      <left style="thin">
        <color indexed="64"/>
      </left>
      <right/>
      <top/>
      <bottom style="hair">
        <color auto="1"/>
      </bottom>
      <diagonal/>
    </border>
    <border>
      <left style="thin">
        <color indexed="64"/>
      </left>
      <right/>
      <top style="hair">
        <color auto="1"/>
      </top>
      <bottom/>
      <diagonal/>
    </border>
    <border>
      <left/>
      <right/>
      <top style="hair">
        <color auto="1"/>
      </top>
      <bottom/>
      <diagonal/>
    </border>
    <border>
      <left/>
      <right style="thin">
        <color indexed="64"/>
      </right>
      <top style="hair">
        <color auto="1"/>
      </top>
      <bottom/>
      <diagonal/>
    </border>
    <border>
      <left style="thin">
        <color indexed="64"/>
      </left>
      <right style="medium">
        <color indexed="64"/>
      </right>
      <top style="thin">
        <color indexed="64"/>
      </top>
      <bottom style="medium">
        <color indexed="64"/>
      </bottom>
      <diagonal/>
    </border>
  </borders>
  <cellStyleXfs count="1">
    <xf numFmtId="0" fontId="0" fillId="0" borderId="0">
      <alignment vertical="center"/>
    </xf>
  </cellStyleXfs>
  <cellXfs count="164">
    <xf numFmtId="0" fontId="0" fillId="0" borderId="0" xfId="0">
      <alignment vertical="center"/>
    </xf>
    <xf numFmtId="14" fontId="0" fillId="0" borderId="0" xfId="0" applyNumberFormat="1">
      <alignment vertical="center"/>
    </xf>
    <xf numFmtId="0" fontId="2" fillId="0" borderId="0" xfId="0" applyFont="1" applyAlignment="1">
      <alignment horizontal="center" vertical="center"/>
    </xf>
    <xf numFmtId="0" fontId="0" fillId="0" borderId="0" xfId="0" applyAlignment="1">
      <alignment horizontal="center" vertical="center"/>
    </xf>
    <xf numFmtId="0" fontId="2" fillId="0" borderId="0" xfId="0" applyFont="1" applyAlignment="1">
      <alignment horizontal="center" vertical="center" wrapText="1"/>
    </xf>
    <xf numFmtId="0" fontId="3" fillId="3" borderId="0" xfId="0" applyFont="1" applyFill="1">
      <alignment vertical="center"/>
    </xf>
    <xf numFmtId="0" fontId="3" fillId="0" borderId="0" xfId="0" applyFont="1">
      <alignment vertical="center"/>
    </xf>
    <xf numFmtId="0" fontId="5" fillId="3" borderId="0" xfId="0" applyFont="1" applyFill="1">
      <alignment vertical="center"/>
    </xf>
    <xf numFmtId="0" fontId="5" fillId="3" borderId="0" xfId="0" applyFont="1" applyFill="1" applyAlignment="1">
      <alignment horizontal="center" vertical="center"/>
    </xf>
    <xf numFmtId="0" fontId="3" fillId="3" borderId="0" xfId="0" applyFont="1" applyFill="1" applyAlignment="1" applyProtection="1">
      <alignment horizontal="center" vertical="center"/>
      <protection locked="0"/>
    </xf>
    <xf numFmtId="176" fontId="3" fillId="3" borderId="0" xfId="0" applyNumberFormat="1" applyFont="1" applyFill="1" applyAlignment="1">
      <alignment horizontal="center" vertical="center"/>
    </xf>
    <xf numFmtId="0" fontId="3" fillId="3" borderId="0" xfId="0" applyFont="1" applyFill="1" applyAlignment="1" applyProtection="1">
      <alignment horizontal="left" vertical="center"/>
      <protection locked="0"/>
    </xf>
    <xf numFmtId="0" fontId="6" fillId="3" borderId="0" xfId="0" applyFont="1" applyFill="1" applyAlignment="1" applyProtection="1">
      <alignment horizontal="center" vertical="center" shrinkToFit="1"/>
      <protection locked="0"/>
    </xf>
    <xf numFmtId="0" fontId="5" fillId="3" borderId="0" xfId="0" applyFont="1" applyFill="1" applyAlignment="1">
      <alignment horizontal="center" vertical="center" wrapText="1"/>
    </xf>
    <xf numFmtId="0" fontId="3" fillId="0" borderId="1" xfId="0" applyFont="1" applyBorder="1">
      <alignment vertical="center"/>
    </xf>
    <xf numFmtId="0" fontId="3" fillId="3" borderId="25" xfId="0" applyFont="1" applyFill="1" applyBorder="1" applyAlignment="1">
      <alignment vertical="center" wrapText="1" readingOrder="1"/>
    </xf>
    <xf numFmtId="0" fontId="3" fillId="3" borderId="35" xfId="0" applyFont="1" applyFill="1" applyBorder="1" applyAlignment="1">
      <alignment vertical="center" wrapText="1" readingOrder="1"/>
    </xf>
    <xf numFmtId="0" fontId="3" fillId="3" borderId="0" xfId="0" applyFont="1" applyFill="1" applyAlignment="1">
      <alignment vertical="center" wrapText="1" readingOrder="1"/>
    </xf>
    <xf numFmtId="0" fontId="3" fillId="3" borderId="23" xfId="0" applyFont="1" applyFill="1" applyBorder="1" applyAlignment="1">
      <alignment vertical="center" wrapText="1" readingOrder="1"/>
    </xf>
    <xf numFmtId="0" fontId="3" fillId="3" borderId="20" xfId="0" applyFont="1" applyFill="1" applyBorder="1" applyAlignment="1">
      <alignment vertical="center" wrapText="1" readingOrder="1"/>
    </xf>
    <xf numFmtId="0" fontId="3" fillId="3" borderId="31" xfId="0" applyFont="1" applyFill="1" applyBorder="1" applyAlignment="1">
      <alignment vertical="center" wrapText="1" readingOrder="1"/>
    </xf>
    <xf numFmtId="0" fontId="5" fillId="2" borderId="59" xfId="0" applyFont="1" applyFill="1" applyBorder="1" applyAlignment="1">
      <alignment horizontal="center" vertical="center" wrapText="1"/>
    </xf>
    <xf numFmtId="0" fontId="5" fillId="2" borderId="25" xfId="0" applyFont="1" applyFill="1" applyBorder="1" applyAlignment="1">
      <alignment horizontal="center" vertical="center"/>
    </xf>
    <xf numFmtId="0" fontId="5" fillId="2" borderId="50" xfId="0" applyFont="1" applyFill="1" applyBorder="1" applyAlignment="1">
      <alignment horizontal="center" vertical="center"/>
    </xf>
    <xf numFmtId="0" fontId="5" fillId="2" borderId="52" xfId="0" applyFont="1" applyFill="1" applyBorder="1" applyAlignment="1">
      <alignment horizontal="center" vertical="center"/>
    </xf>
    <xf numFmtId="0" fontId="5" fillId="2" borderId="0" xfId="0" applyFont="1" applyFill="1" applyAlignment="1">
      <alignment horizontal="center" vertical="center"/>
    </xf>
    <xf numFmtId="0" fontId="5" fillId="2" borderId="26" xfId="0" applyFont="1" applyFill="1" applyBorder="1" applyAlignment="1">
      <alignment horizontal="center" vertical="center"/>
    </xf>
    <xf numFmtId="0" fontId="5" fillId="2" borderId="57" xfId="0" applyFont="1" applyFill="1" applyBorder="1" applyAlignment="1">
      <alignment horizontal="center" vertical="center"/>
    </xf>
    <xf numFmtId="0" fontId="5" fillId="2" borderId="13" xfId="0" applyFont="1" applyFill="1" applyBorder="1" applyAlignment="1">
      <alignment horizontal="center" vertical="center"/>
    </xf>
    <xf numFmtId="0" fontId="5" fillId="2" borderId="15" xfId="0" applyFont="1" applyFill="1" applyBorder="1" applyAlignment="1">
      <alignment horizontal="center" vertical="center"/>
    </xf>
    <xf numFmtId="0" fontId="3" fillId="0" borderId="25" xfId="0" applyFont="1" applyBorder="1" applyAlignment="1">
      <alignment horizontal="left" vertical="top" wrapText="1" readingOrder="1"/>
    </xf>
    <xf numFmtId="0" fontId="3" fillId="0" borderId="35" xfId="0" applyFont="1" applyBorder="1" applyAlignment="1">
      <alignment horizontal="left" vertical="top" wrapText="1" readingOrder="1"/>
    </xf>
    <xf numFmtId="0" fontId="3" fillId="0" borderId="0" xfId="0" applyFont="1" applyAlignment="1">
      <alignment horizontal="left" vertical="top" wrapText="1" readingOrder="1"/>
    </xf>
    <xf numFmtId="0" fontId="3" fillId="0" borderId="23" xfId="0" applyFont="1" applyBorder="1" applyAlignment="1">
      <alignment horizontal="left" vertical="top" wrapText="1" readingOrder="1"/>
    </xf>
    <xf numFmtId="0" fontId="3" fillId="0" borderId="13" xfId="0" applyFont="1" applyBorder="1" applyAlignment="1">
      <alignment horizontal="left" vertical="top" wrapText="1" readingOrder="1"/>
    </xf>
    <xf numFmtId="0" fontId="3" fillId="0" borderId="58" xfId="0" applyFont="1" applyBorder="1" applyAlignment="1">
      <alignment horizontal="left" vertical="top" wrapText="1" readingOrder="1"/>
    </xf>
    <xf numFmtId="0" fontId="6" fillId="3" borderId="32" xfId="0" applyFont="1" applyFill="1" applyBorder="1" applyAlignment="1" applyProtection="1">
      <alignment horizontal="center" vertical="center" shrinkToFit="1"/>
      <protection locked="0"/>
    </xf>
    <xf numFmtId="0" fontId="6" fillId="3" borderId="33" xfId="0" applyFont="1" applyFill="1" applyBorder="1" applyAlignment="1" applyProtection="1">
      <alignment horizontal="center" vertical="center" shrinkToFit="1"/>
      <protection locked="0"/>
    </xf>
    <xf numFmtId="0" fontId="6" fillId="3" borderId="39" xfId="0" applyFont="1" applyFill="1" applyBorder="1" applyAlignment="1" applyProtection="1">
      <alignment horizontal="center" vertical="center" shrinkToFit="1"/>
      <protection locked="0"/>
    </xf>
    <xf numFmtId="0" fontId="6" fillId="3" borderId="34" xfId="0" applyFont="1" applyFill="1" applyBorder="1" applyAlignment="1" applyProtection="1">
      <alignment horizontal="center" vertical="center" shrinkToFit="1"/>
      <protection locked="0"/>
    </xf>
    <xf numFmtId="0" fontId="6" fillId="3" borderId="36" xfId="0" applyFont="1" applyFill="1" applyBorder="1" applyAlignment="1" applyProtection="1">
      <alignment horizontal="center" vertical="center" shrinkToFit="1"/>
      <protection locked="0"/>
    </xf>
    <xf numFmtId="0" fontId="6" fillId="3" borderId="37" xfId="0" applyFont="1" applyFill="1" applyBorder="1" applyAlignment="1" applyProtection="1">
      <alignment horizontal="center" vertical="center" shrinkToFit="1"/>
      <protection locked="0"/>
    </xf>
    <xf numFmtId="0" fontId="6" fillId="3" borderId="38" xfId="0" applyFont="1" applyFill="1" applyBorder="1" applyAlignment="1" applyProtection="1">
      <alignment horizontal="center" vertical="center" shrinkToFit="1"/>
      <protection locked="0"/>
    </xf>
    <xf numFmtId="0" fontId="6" fillId="3" borderId="40" xfId="0" applyFont="1" applyFill="1" applyBorder="1" applyAlignment="1" applyProtection="1">
      <alignment horizontal="center" vertical="center" shrinkToFit="1"/>
      <protection locked="0"/>
    </xf>
    <xf numFmtId="0" fontId="5" fillId="2" borderId="3" xfId="0" applyFont="1" applyFill="1" applyBorder="1" applyAlignment="1">
      <alignment horizontal="center" vertical="center"/>
    </xf>
    <xf numFmtId="0" fontId="5" fillId="2" borderId="4" xfId="0" applyFont="1" applyFill="1" applyBorder="1" applyAlignment="1">
      <alignment horizontal="center" vertical="center"/>
    </xf>
    <xf numFmtId="0" fontId="5" fillId="2" borderId="1" xfId="0" applyFont="1" applyFill="1" applyBorder="1" applyAlignment="1">
      <alignment horizontal="center" vertical="center"/>
    </xf>
    <xf numFmtId="0" fontId="5" fillId="2" borderId="6" xfId="0" applyFont="1" applyFill="1" applyBorder="1" applyAlignment="1">
      <alignment horizontal="center" vertical="center"/>
    </xf>
    <xf numFmtId="0" fontId="7" fillId="4" borderId="28" xfId="0" applyFont="1" applyFill="1" applyBorder="1" applyAlignment="1">
      <alignment horizontal="center" vertical="top" textRotation="255"/>
    </xf>
    <xf numFmtId="0" fontId="7" fillId="4" borderId="42" xfId="0" applyFont="1" applyFill="1" applyBorder="1" applyAlignment="1">
      <alignment horizontal="center" vertical="top" textRotation="255"/>
    </xf>
    <xf numFmtId="0" fontId="7" fillId="4" borderId="29" xfId="0" applyFont="1" applyFill="1" applyBorder="1" applyAlignment="1">
      <alignment horizontal="center" vertical="top" textRotation="255"/>
    </xf>
    <xf numFmtId="0" fontId="7" fillId="4" borderId="44" xfId="0" applyFont="1" applyFill="1" applyBorder="1" applyAlignment="1">
      <alignment horizontal="center" vertical="top" textRotation="255"/>
    </xf>
    <xf numFmtId="0" fontId="7" fillId="4" borderId="18" xfId="0" applyFont="1" applyFill="1" applyBorder="1" applyAlignment="1">
      <alignment horizontal="center" vertical="top" textRotation="255"/>
    </xf>
    <xf numFmtId="0" fontId="7" fillId="4" borderId="43" xfId="0" applyFont="1" applyFill="1" applyBorder="1" applyAlignment="1">
      <alignment horizontal="center" vertical="top" textRotation="255"/>
    </xf>
    <xf numFmtId="0" fontId="7" fillId="4" borderId="19" xfId="0" applyFont="1" applyFill="1" applyBorder="1" applyAlignment="1">
      <alignment horizontal="center" vertical="top" textRotation="255"/>
    </xf>
    <xf numFmtId="0" fontId="7" fillId="4" borderId="45" xfId="0" applyFont="1" applyFill="1" applyBorder="1" applyAlignment="1">
      <alignment horizontal="center" vertical="top" textRotation="255"/>
    </xf>
    <xf numFmtId="0" fontId="3" fillId="0" borderId="42" xfId="0" applyFont="1" applyBorder="1" applyAlignment="1">
      <alignment horizontal="center" vertical="center" textRotation="180"/>
    </xf>
    <xf numFmtId="0" fontId="3" fillId="0" borderId="29" xfId="0" applyFont="1" applyBorder="1" applyAlignment="1">
      <alignment horizontal="center" vertical="center" textRotation="180"/>
    </xf>
    <xf numFmtId="0" fontId="3" fillId="0" borderId="44" xfId="0" applyFont="1" applyBorder="1" applyAlignment="1">
      <alignment horizontal="center" vertical="center" textRotation="180"/>
    </xf>
    <xf numFmtId="0" fontId="3" fillId="0" borderId="17" xfId="0" applyFont="1" applyBorder="1" applyAlignment="1" applyProtection="1">
      <alignment horizontal="center" vertical="center"/>
      <protection locked="0"/>
    </xf>
    <xf numFmtId="0" fontId="3" fillId="0" borderId="12" xfId="0" applyFont="1" applyBorder="1" applyAlignment="1" applyProtection="1">
      <alignment horizontal="center" vertical="center"/>
      <protection locked="0"/>
    </xf>
    <xf numFmtId="0" fontId="3" fillId="0" borderId="16" xfId="0" applyFont="1" applyBorder="1" applyAlignment="1" applyProtection="1">
      <alignment horizontal="center" vertical="center"/>
      <protection locked="0"/>
    </xf>
    <xf numFmtId="0" fontId="3" fillId="0" borderId="22" xfId="0" applyFont="1" applyBorder="1" applyAlignment="1" applyProtection="1">
      <alignment horizontal="center" vertical="center"/>
      <protection locked="0"/>
    </xf>
    <xf numFmtId="0" fontId="3" fillId="0" borderId="20" xfId="0" applyFont="1" applyBorder="1" applyAlignment="1" applyProtection="1">
      <alignment horizontal="center" vertical="center"/>
      <protection locked="0"/>
    </xf>
    <xf numFmtId="0" fontId="3" fillId="0" borderId="54" xfId="0" applyFont="1" applyBorder="1" applyAlignment="1" applyProtection="1">
      <alignment horizontal="center" vertical="center"/>
      <protection locked="0"/>
    </xf>
    <xf numFmtId="0" fontId="5" fillId="2" borderId="24"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22"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54" xfId="0" applyFont="1" applyFill="1" applyBorder="1" applyAlignment="1">
      <alignment horizontal="center" vertical="center"/>
    </xf>
    <xf numFmtId="0" fontId="5" fillId="2" borderId="59" xfId="0" applyFont="1" applyFill="1" applyBorder="1" applyAlignment="1">
      <alignment horizontal="center" vertical="center"/>
    </xf>
    <xf numFmtId="0" fontId="5" fillId="2" borderId="53" xfId="0" applyFont="1" applyFill="1" applyBorder="1" applyAlignment="1">
      <alignment horizontal="center" vertical="center"/>
    </xf>
    <xf numFmtId="0" fontId="3" fillId="3" borderId="64" xfId="0" applyFont="1" applyFill="1" applyBorder="1" applyAlignment="1">
      <alignment horizontal="center" vertical="center" wrapText="1" readingOrder="1"/>
    </xf>
    <xf numFmtId="0" fontId="3" fillId="3" borderId="65" xfId="0" applyFont="1" applyFill="1" applyBorder="1" applyAlignment="1">
      <alignment horizontal="center" vertical="center" wrapText="1" readingOrder="1"/>
    </xf>
    <xf numFmtId="0" fontId="3" fillId="3" borderId="66" xfId="0" applyFont="1" applyFill="1" applyBorder="1" applyAlignment="1">
      <alignment horizontal="center" vertical="center" wrapText="1" readingOrder="1"/>
    </xf>
    <xf numFmtId="0" fontId="3" fillId="3" borderId="63" xfId="0" applyFont="1" applyFill="1" applyBorder="1" applyAlignment="1">
      <alignment horizontal="center" vertical="center" wrapText="1" readingOrder="1"/>
    </xf>
    <xf numFmtId="0" fontId="3" fillId="3" borderId="61" xfId="0" applyFont="1" applyFill="1" applyBorder="1" applyAlignment="1">
      <alignment horizontal="center" vertical="center" wrapText="1" readingOrder="1"/>
    </xf>
    <xf numFmtId="0" fontId="3" fillId="3" borderId="62" xfId="0" applyFont="1" applyFill="1" applyBorder="1" applyAlignment="1">
      <alignment horizontal="center" vertical="center" wrapText="1" readingOrder="1"/>
    </xf>
    <xf numFmtId="0" fontId="3" fillId="3" borderId="22" xfId="0" applyFont="1" applyFill="1" applyBorder="1" applyAlignment="1">
      <alignment horizontal="center" vertical="center" wrapText="1" readingOrder="1"/>
    </xf>
    <xf numFmtId="0" fontId="3" fillId="3" borderId="20" xfId="0" applyFont="1" applyFill="1" applyBorder="1" applyAlignment="1">
      <alignment horizontal="center" vertical="center" wrapText="1" readingOrder="1"/>
    </xf>
    <xf numFmtId="0" fontId="3" fillId="3" borderId="54" xfId="0" applyFont="1" applyFill="1" applyBorder="1" applyAlignment="1">
      <alignment horizontal="center" vertical="center" wrapText="1" readingOrder="1"/>
    </xf>
    <xf numFmtId="0" fontId="5" fillId="2" borderId="9" xfId="0" applyFont="1" applyFill="1" applyBorder="1" applyAlignment="1">
      <alignment horizontal="center" vertical="center"/>
    </xf>
    <xf numFmtId="0" fontId="5" fillId="2" borderId="10" xfId="0" applyFont="1" applyFill="1" applyBorder="1" applyAlignment="1">
      <alignment horizontal="center" vertical="center"/>
    </xf>
    <xf numFmtId="0" fontId="5" fillId="2" borderId="11" xfId="0" applyFont="1" applyFill="1" applyBorder="1" applyAlignment="1">
      <alignment horizontal="center" vertical="center"/>
    </xf>
    <xf numFmtId="0" fontId="3" fillId="0" borderId="36" xfId="0" applyFont="1" applyBorder="1" applyAlignment="1" applyProtection="1">
      <alignment horizontal="center" vertical="center"/>
      <protection locked="0"/>
    </xf>
    <xf numFmtId="0" fontId="3" fillId="0" borderId="37" xfId="0" applyFont="1" applyBorder="1" applyAlignment="1" applyProtection="1">
      <alignment horizontal="center" vertical="center"/>
      <protection locked="0"/>
    </xf>
    <xf numFmtId="0" fontId="3" fillId="0" borderId="38" xfId="0" applyFont="1" applyBorder="1" applyAlignment="1" applyProtection="1">
      <alignment horizontal="center" vertical="center"/>
      <protection locked="0"/>
    </xf>
    <xf numFmtId="0" fontId="3" fillId="3" borderId="24" xfId="0" applyFont="1" applyFill="1" applyBorder="1" applyAlignment="1">
      <alignment horizontal="center" vertical="center" wrapText="1" readingOrder="1"/>
    </xf>
    <xf numFmtId="0" fontId="3" fillId="3" borderId="25" xfId="0" applyFont="1" applyFill="1" applyBorder="1" applyAlignment="1">
      <alignment horizontal="center" vertical="center" wrapText="1" readingOrder="1"/>
    </xf>
    <xf numFmtId="0" fontId="3" fillId="3" borderId="50" xfId="0" applyFont="1" applyFill="1" applyBorder="1" applyAlignment="1">
      <alignment horizontal="center" vertical="center" wrapText="1" readingOrder="1"/>
    </xf>
    <xf numFmtId="177" fontId="3" fillId="0" borderId="56" xfId="0" applyNumberFormat="1" applyFont="1" applyBorder="1" applyAlignment="1">
      <alignment horizontal="center" vertical="center"/>
    </xf>
    <xf numFmtId="177" fontId="3" fillId="0" borderId="33" xfId="0" applyNumberFormat="1" applyFont="1" applyBorder="1" applyAlignment="1">
      <alignment horizontal="center" vertical="center"/>
    </xf>
    <xf numFmtId="177" fontId="3" fillId="0" borderId="34" xfId="0" applyNumberFormat="1" applyFont="1" applyBorder="1" applyAlignment="1">
      <alignment horizontal="center" vertical="center"/>
    </xf>
    <xf numFmtId="0" fontId="3" fillId="0" borderId="43" xfId="0" applyFont="1" applyBorder="1" applyAlignment="1">
      <alignment horizontal="center" vertical="center" textRotation="180"/>
    </xf>
    <xf numFmtId="0" fontId="3" fillId="0" borderId="19" xfId="0" applyFont="1" applyBorder="1" applyAlignment="1">
      <alignment horizontal="center" vertical="center" textRotation="180"/>
    </xf>
    <xf numFmtId="0" fontId="3" fillId="0" borderId="45" xfId="0" applyFont="1" applyBorder="1" applyAlignment="1">
      <alignment horizontal="center" vertical="center" textRotation="180"/>
    </xf>
    <xf numFmtId="0" fontId="3" fillId="0" borderId="32" xfId="0" applyFont="1" applyBorder="1" applyAlignment="1">
      <alignment horizontal="center" vertical="center"/>
    </xf>
    <xf numFmtId="0" fontId="3" fillId="0" borderId="33" xfId="0" applyFont="1" applyBorder="1" applyAlignment="1">
      <alignment horizontal="center" vertical="center"/>
    </xf>
    <xf numFmtId="0" fontId="3" fillId="0" borderId="34" xfId="0" applyFont="1" applyBorder="1" applyAlignment="1">
      <alignment horizontal="center" vertical="center"/>
    </xf>
    <xf numFmtId="0" fontId="5" fillId="2" borderId="56" xfId="0" applyFont="1" applyFill="1" applyBorder="1" applyAlignment="1">
      <alignment horizontal="center" vertical="center"/>
    </xf>
    <xf numFmtId="0" fontId="5" fillId="2" borderId="33" xfId="0" applyFont="1" applyFill="1" applyBorder="1" applyAlignment="1">
      <alignment horizontal="center" vertical="center"/>
    </xf>
    <xf numFmtId="0" fontId="5" fillId="2" borderId="34" xfId="0" applyFont="1" applyFill="1" applyBorder="1" applyAlignment="1">
      <alignment horizontal="center" vertical="center"/>
    </xf>
    <xf numFmtId="0" fontId="6" fillId="3" borderId="3" xfId="0" applyFont="1" applyFill="1" applyBorder="1" applyAlignment="1" applyProtection="1">
      <alignment horizontal="left" vertical="center" shrinkToFit="1"/>
      <protection locked="0"/>
    </xf>
    <xf numFmtId="0" fontId="6" fillId="3" borderId="4" xfId="0" applyFont="1" applyFill="1" applyBorder="1" applyAlignment="1" applyProtection="1">
      <alignment horizontal="left" vertical="center" shrinkToFit="1"/>
      <protection locked="0"/>
    </xf>
    <xf numFmtId="0" fontId="5" fillId="2" borderId="36" xfId="0" applyFont="1" applyFill="1" applyBorder="1" applyAlignment="1">
      <alignment horizontal="center" vertical="center"/>
    </xf>
    <xf numFmtId="0" fontId="5" fillId="2" borderId="37" xfId="0" applyFont="1" applyFill="1" applyBorder="1" applyAlignment="1">
      <alignment horizontal="center" vertical="center"/>
    </xf>
    <xf numFmtId="0" fontId="5" fillId="2" borderId="38" xfId="0" applyFont="1" applyFill="1" applyBorder="1" applyAlignment="1">
      <alignment horizontal="center" vertical="center"/>
    </xf>
    <xf numFmtId="0" fontId="8" fillId="3" borderId="0" xfId="0" applyFont="1" applyFill="1" applyAlignment="1">
      <alignment horizontal="center" vertical="center"/>
    </xf>
    <xf numFmtId="0" fontId="5" fillId="2" borderId="5" xfId="0" applyFont="1" applyFill="1" applyBorder="1" applyAlignment="1">
      <alignment horizontal="center" vertical="center" wrapText="1"/>
    </xf>
    <xf numFmtId="0" fontId="5" fillId="2" borderId="3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2" borderId="38"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5" fillId="2" borderId="60" xfId="0" applyFont="1" applyFill="1" applyBorder="1" applyAlignment="1">
      <alignment horizontal="center" vertical="center"/>
    </xf>
    <xf numFmtId="0" fontId="5" fillId="2" borderId="5" xfId="0" applyFont="1" applyFill="1" applyBorder="1" applyAlignment="1">
      <alignment horizontal="center" vertical="center"/>
    </xf>
    <xf numFmtId="0" fontId="5" fillId="2" borderId="30" xfId="0" applyFont="1" applyFill="1" applyBorder="1" applyAlignment="1">
      <alignment horizontal="center" vertical="center"/>
    </xf>
    <xf numFmtId="0" fontId="5" fillId="2" borderId="27" xfId="0" applyFont="1" applyFill="1" applyBorder="1" applyAlignment="1">
      <alignment horizontal="center" vertical="center"/>
    </xf>
    <xf numFmtId="0" fontId="5" fillId="2" borderId="2" xfId="0" applyFont="1" applyFill="1" applyBorder="1" applyAlignment="1">
      <alignment horizontal="center" vertical="center"/>
    </xf>
    <xf numFmtId="55" fontId="3" fillId="0" borderId="9" xfId="0" applyNumberFormat="1" applyFont="1" applyBorder="1" applyAlignment="1">
      <alignment horizontal="center" vertical="center"/>
    </xf>
    <xf numFmtId="55" fontId="3" fillId="0" borderId="10" xfId="0" applyNumberFormat="1" applyFont="1" applyBorder="1" applyAlignment="1">
      <alignment horizontal="center" vertical="center"/>
    </xf>
    <xf numFmtId="55" fontId="3" fillId="0" borderId="41" xfId="0" applyNumberFormat="1" applyFont="1" applyBorder="1" applyAlignment="1">
      <alignment horizontal="center" vertical="center"/>
    </xf>
    <xf numFmtId="178" fontId="3" fillId="0" borderId="36" xfId="0" applyNumberFormat="1" applyFont="1" applyBorder="1" applyAlignment="1" applyProtection="1">
      <alignment horizontal="center" vertical="center"/>
      <protection locked="0"/>
    </xf>
    <xf numFmtId="178" fontId="3" fillId="0" borderId="37" xfId="0" applyNumberFormat="1" applyFont="1" applyBorder="1" applyAlignment="1" applyProtection="1">
      <alignment horizontal="center" vertical="center"/>
      <protection locked="0"/>
    </xf>
    <xf numFmtId="178" fontId="3" fillId="0" borderId="40" xfId="0" applyNumberFormat="1" applyFont="1" applyBorder="1" applyAlignment="1" applyProtection="1">
      <alignment horizontal="center" vertical="center"/>
      <protection locked="0"/>
    </xf>
    <xf numFmtId="178" fontId="3" fillId="3" borderId="20" xfId="0" applyNumberFormat="1" applyFont="1" applyFill="1" applyBorder="1" applyAlignment="1">
      <alignment horizontal="center" vertical="center"/>
    </xf>
    <xf numFmtId="0" fontId="5" fillId="2" borderId="41" xfId="0" applyFont="1" applyFill="1" applyBorder="1" applyAlignment="1">
      <alignment horizontal="center" vertical="center"/>
    </xf>
    <xf numFmtId="0" fontId="5" fillId="2" borderId="51" xfId="0" applyFont="1" applyFill="1" applyBorder="1" applyAlignment="1">
      <alignment horizontal="center" vertical="center"/>
    </xf>
    <xf numFmtId="0" fontId="5" fillId="2" borderId="12" xfId="0" applyFont="1" applyFill="1" applyBorder="1" applyAlignment="1">
      <alignment horizontal="center" vertical="center"/>
    </xf>
    <xf numFmtId="0" fontId="5" fillId="2" borderId="16" xfId="0" applyFont="1" applyFill="1" applyBorder="1" applyAlignment="1">
      <alignment horizontal="center" vertical="center"/>
    </xf>
    <xf numFmtId="0" fontId="6" fillId="3" borderId="8" xfId="0" applyFont="1" applyFill="1" applyBorder="1" applyAlignment="1" applyProtection="1">
      <alignment horizontal="left" vertical="center" shrinkToFit="1"/>
      <protection locked="0"/>
    </xf>
    <xf numFmtId="0" fontId="4" fillId="5" borderId="8" xfId="0" applyFont="1" applyFill="1" applyBorder="1" applyAlignment="1" applyProtection="1">
      <alignment horizontal="center" vertical="center" shrinkToFit="1"/>
      <protection locked="0"/>
    </xf>
    <xf numFmtId="0" fontId="6" fillId="3" borderId="67" xfId="0" applyFont="1" applyFill="1" applyBorder="1" applyAlignment="1" applyProtection="1">
      <alignment horizontal="left" vertical="center" shrinkToFit="1"/>
      <protection locked="0"/>
    </xf>
    <xf numFmtId="0" fontId="7" fillId="4" borderId="46" xfId="0" applyFont="1" applyFill="1" applyBorder="1" applyAlignment="1">
      <alignment horizontal="center" vertical="top" textRotation="255"/>
    </xf>
    <xf numFmtId="0" fontId="7" fillId="4" borderId="47" xfId="0" applyFont="1" applyFill="1" applyBorder="1" applyAlignment="1">
      <alignment horizontal="center" vertical="top" textRotation="255"/>
    </xf>
    <xf numFmtId="0" fontId="7" fillId="4" borderId="48" xfId="0" applyFont="1" applyFill="1" applyBorder="1" applyAlignment="1">
      <alignment horizontal="center" vertical="top" textRotation="255"/>
    </xf>
    <xf numFmtId="0" fontId="7" fillId="4" borderId="49" xfId="0" applyFont="1" applyFill="1" applyBorder="1" applyAlignment="1">
      <alignment horizontal="center" vertical="top" textRotation="255"/>
    </xf>
    <xf numFmtId="0" fontId="3" fillId="0" borderId="47" xfId="0" applyFont="1" applyBorder="1" applyAlignment="1">
      <alignment horizontal="center" vertical="center" textRotation="180"/>
    </xf>
    <xf numFmtId="0" fontId="3" fillId="0" borderId="48" xfId="0" applyFont="1" applyBorder="1" applyAlignment="1">
      <alignment horizontal="center" vertical="center" textRotation="180"/>
    </xf>
    <xf numFmtId="0" fontId="3" fillId="0" borderId="49" xfId="0" applyFont="1" applyBorder="1" applyAlignment="1">
      <alignment horizontal="center" vertical="center" textRotation="180"/>
    </xf>
    <xf numFmtId="0" fontId="5" fillId="2" borderId="17" xfId="0" applyFont="1" applyFill="1" applyBorder="1" applyAlignment="1">
      <alignment horizontal="center" vertical="center"/>
    </xf>
    <xf numFmtId="0" fontId="5" fillId="2" borderId="14" xfId="0" applyFont="1" applyFill="1" applyBorder="1" applyAlignment="1">
      <alignment horizontal="center" vertical="center"/>
    </xf>
    <xf numFmtId="0" fontId="3" fillId="3" borderId="24" xfId="0" applyFont="1" applyFill="1" applyBorder="1" applyAlignment="1">
      <alignment horizontal="left" vertical="top" wrapText="1"/>
    </xf>
    <xf numFmtId="0" fontId="3" fillId="3" borderId="25" xfId="0" applyFont="1" applyFill="1" applyBorder="1" applyAlignment="1">
      <alignment horizontal="left" vertical="top"/>
    </xf>
    <xf numFmtId="0" fontId="3" fillId="3" borderId="50" xfId="0" applyFont="1" applyFill="1" applyBorder="1" applyAlignment="1">
      <alignment horizontal="left" vertical="top"/>
    </xf>
    <xf numFmtId="0" fontId="3" fillId="3" borderId="21" xfId="0" applyFont="1" applyFill="1" applyBorder="1" applyAlignment="1">
      <alignment horizontal="left" vertical="top"/>
    </xf>
    <xf numFmtId="0" fontId="3" fillId="3" borderId="0" xfId="0" applyFont="1" applyFill="1" applyAlignment="1">
      <alignment horizontal="left" vertical="top"/>
    </xf>
    <xf numFmtId="0" fontId="3" fillId="3" borderId="26" xfId="0" applyFont="1" applyFill="1" applyBorder="1" applyAlignment="1">
      <alignment horizontal="left" vertical="top"/>
    </xf>
    <xf numFmtId="0" fontId="3" fillId="3" borderId="14" xfId="0" applyFont="1" applyFill="1" applyBorder="1" applyAlignment="1">
      <alignment horizontal="left" vertical="top"/>
    </xf>
    <xf numFmtId="0" fontId="3" fillId="3" borderId="13" xfId="0" applyFont="1" applyFill="1" applyBorder="1" applyAlignment="1">
      <alignment horizontal="left" vertical="top"/>
    </xf>
    <xf numFmtId="0" fontId="3" fillId="3" borderId="15" xfId="0" applyFont="1" applyFill="1" applyBorder="1" applyAlignment="1">
      <alignment horizontal="left" vertical="top"/>
    </xf>
    <xf numFmtId="0" fontId="5" fillId="2" borderId="55" xfId="0" applyFont="1" applyFill="1" applyBorder="1" applyAlignment="1">
      <alignment horizontal="center" vertical="center"/>
    </xf>
    <xf numFmtId="55" fontId="3" fillId="0" borderId="59" xfId="0" applyNumberFormat="1" applyFont="1" applyBorder="1" applyAlignment="1">
      <alignment horizontal="center" vertical="center"/>
    </xf>
    <xf numFmtId="55" fontId="3" fillId="0" borderId="25" xfId="0" applyNumberFormat="1" applyFont="1" applyBorder="1" applyAlignment="1">
      <alignment horizontal="center" vertical="center"/>
    </xf>
    <xf numFmtId="55" fontId="3" fillId="0" borderId="50" xfId="0" applyNumberFormat="1" applyFont="1" applyBorder="1" applyAlignment="1">
      <alignment horizontal="center" vertical="center"/>
    </xf>
    <xf numFmtId="55" fontId="3" fillId="0" borderId="52" xfId="0" applyNumberFormat="1" applyFont="1" applyBorder="1" applyAlignment="1">
      <alignment horizontal="center" vertical="center"/>
    </xf>
    <xf numFmtId="55" fontId="3" fillId="0" borderId="0" xfId="0" applyNumberFormat="1" applyFont="1" applyAlignment="1">
      <alignment horizontal="center" vertical="center"/>
    </xf>
    <xf numFmtId="55" fontId="3" fillId="0" borderId="26" xfId="0" applyNumberFormat="1" applyFont="1" applyBorder="1" applyAlignment="1">
      <alignment horizontal="center" vertical="center"/>
    </xf>
    <xf numFmtId="55" fontId="3" fillId="0" borderId="57" xfId="0" applyNumberFormat="1" applyFont="1" applyBorder="1" applyAlignment="1">
      <alignment horizontal="center" vertical="center"/>
    </xf>
    <xf numFmtId="55" fontId="3" fillId="0" borderId="13" xfId="0" applyNumberFormat="1" applyFont="1" applyBorder="1" applyAlignment="1">
      <alignment horizontal="center" vertical="center"/>
    </xf>
    <xf numFmtId="55" fontId="3" fillId="0" borderId="15" xfId="0" applyNumberFormat="1" applyFont="1" applyBorder="1" applyAlignment="1">
      <alignment horizontal="center" vertical="center"/>
    </xf>
    <xf numFmtId="55" fontId="3" fillId="0" borderId="56" xfId="0" applyNumberFormat="1" applyFont="1" applyBorder="1" applyAlignment="1">
      <alignment horizontal="center" vertical="center"/>
    </xf>
    <xf numFmtId="55" fontId="3" fillId="0" borderId="33" xfId="0" applyNumberFormat="1" applyFont="1" applyBorder="1" applyAlignment="1">
      <alignment horizontal="center" vertical="center"/>
    </xf>
    <xf numFmtId="55" fontId="3" fillId="0" borderId="34" xfId="0" applyNumberFormat="1"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職務経歴!$AM$48</c:f>
              <c:strCache>
                <c:ptCount val="1"/>
                <c:pt idx="0">
                  <c:v>割合</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A44-42D0-8721-B41133D12D6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FA44-42D0-8721-B41133D12D6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FA44-42D0-8721-B41133D12D6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4-FA44-42D0-8721-B41133D12D6A}"/>
              </c:ext>
            </c:extLst>
          </c:dPt>
          <c:dLbls>
            <c:dLbl>
              <c:idx val="0"/>
              <c:layout>
                <c:manualLayout>
                  <c:x val="-9.5835425977158328E-2"/>
                  <c:y val="0.1474328707178500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A44-42D0-8721-B41133D12D6A}"/>
                </c:ext>
              </c:extLst>
            </c:dLbl>
            <c:dLbl>
              <c:idx val="1"/>
              <c:layout>
                <c:manualLayout>
                  <c:x val="-0.15061984819465141"/>
                  <c:y val="5.918961169715137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FA44-42D0-8721-B41133D12D6A}"/>
                </c:ext>
              </c:extLst>
            </c:dLbl>
            <c:dLbl>
              <c:idx val="2"/>
              <c:layout>
                <c:manualLayout>
                  <c:x val="-0.13190068808966446"/>
                  <c:y val="-5.22238446364049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A44-42D0-8721-B41133D12D6A}"/>
                </c:ext>
              </c:extLst>
            </c:dLbl>
            <c:dLbl>
              <c:idx val="3"/>
              <c:layout>
                <c:manualLayout>
                  <c:x val="0.203280130524225"/>
                  <c:y val="-0.1072006380484935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FA44-42D0-8721-B41133D12D6A}"/>
                </c:ext>
              </c:extLst>
            </c:dLbl>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j-ea"/>
                    <a:ea typeface="+mj-ea"/>
                    <a:cs typeface="+mn-cs"/>
                  </a:defRPr>
                </a:pPr>
                <a:endParaRPr lang="ja-JP"/>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職務経歴!$AL$49:$AL$52</c:f>
              <c:strCache>
                <c:ptCount val="4"/>
                <c:pt idx="0">
                  <c:v>打ち合わせ</c:v>
                </c:pt>
                <c:pt idx="1">
                  <c:v>レビュー</c:v>
                </c:pt>
                <c:pt idx="2">
                  <c:v>管理</c:v>
                </c:pt>
                <c:pt idx="3">
                  <c:v>その他</c:v>
                </c:pt>
              </c:strCache>
            </c:strRef>
          </c:cat>
          <c:val>
            <c:numRef>
              <c:f>職務経歴!$AM$49:$AM$52</c:f>
              <c:numCache>
                <c:formatCode>General</c:formatCode>
                <c:ptCount val="4"/>
                <c:pt idx="0">
                  <c:v>13</c:v>
                </c:pt>
                <c:pt idx="1">
                  <c:v>13</c:v>
                </c:pt>
                <c:pt idx="2">
                  <c:v>9</c:v>
                </c:pt>
                <c:pt idx="3">
                  <c:v>65</c:v>
                </c:pt>
              </c:numCache>
            </c:numRef>
          </c:val>
          <c:extLst>
            <c:ext xmlns:c16="http://schemas.microsoft.com/office/drawing/2014/chart" uri="{C3380CC4-5D6E-409C-BE32-E72D297353CC}">
              <c16:uniqueId val="{00000000-FA44-42D0-8721-B41133D12D6A}"/>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0536952319405"/>
          <c:y val="7.2676239356720074E-2"/>
          <c:w val="0.2495955162467437"/>
          <c:h val="0.32851287478405616"/>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j-ea"/>
              <a:ea typeface="+mj-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22</xdr:col>
      <xdr:colOff>15241</xdr:colOff>
      <xdr:row>43</xdr:row>
      <xdr:rowOff>64226</xdr:rowOff>
    </xdr:from>
    <xdr:to>
      <xdr:col>33</xdr:col>
      <xdr:colOff>217715</xdr:colOff>
      <xdr:row>56</xdr:row>
      <xdr:rowOff>57150</xdr:rowOff>
    </xdr:to>
    <xdr:graphicFrame macro="">
      <xdr:nvGraphicFramePr>
        <xdr:cNvPr id="2" name="グラフ 1">
          <a:extLst>
            <a:ext uri="{FF2B5EF4-FFF2-40B4-BE49-F238E27FC236}">
              <a16:creationId xmlns:a16="http://schemas.microsoft.com/office/drawing/2014/main" id="{12BB727C-A0BA-4E4B-5180-92F3A2033E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465A4-590A-4457-AF06-CB645C16E66F}">
  <sheetPr>
    <pageSetUpPr fitToPage="1"/>
  </sheetPr>
  <dimension ref="A1:AM438"/>
  <sheetViews>
    <sheetView tabSelected="1" view="pageBreakPreview" zoomScaleNormal="100" zoomScaleSheetLayoutView="100" workbookViewId="0"/>
  </sheetViews>
  <sheetFormatPr defaultColWidth="3.75" defaultRowHeight="16.5" x14ac:dyDescent="0.4"/>
  <cols>
    <col min="1" max="1" width="3.75" style="5"/>
    <col min="2" max="3" width="3.75" style="6" customWidth="1"/>
    <col min="4" max="29" width="3.75" style="6"/>
    <col min="30" max="30" width="3.75" style="5"/>
    <col min="31" max="31" width="3.75" style="5" customWidth="1"/>
    <col min="32" max="35" width="3.75" style="5"/>
    <col min="36" max="37" width="3.75" style="6"/>
    <col min="38" max="38" width="9.875" style="6" bestFit="1" customWidth="1"/>
    <col min="39" max="39" width="4.75" style="6" bestFit="1" customWidth="1"/>
    <col min="40" max="16384" width="3.75" style="6"/>
  </cols>
  <sheetData>
    <row r="1" spans="2:34" s="5" customFormat="1" ht="19.899999999999999" customHeight="1" x14ac:dyDescent="0.4"/>
    <row r="2" spans="2:34" ht="19.899999999999999" customHeight="1" x14ac:dyDescent="0.4">
      <c r="B2" s="107" t="s">
        <v>100</v>
      </c>
      <c r="C2" s="107"/>
      <c r="D2" s="107"/>
      <c r="E2" s="107"/>
      <c r="F2" s="107"/>
      <c r="G2" s="107"/>
      <c r="H2" s="107"/>
      <c r="I2" s="107"/>
      <c r="J2" s="107"/>
      <c r="K2" s="107"/>
      <c r="L2" s="107"/>
      <c r="M2" s="107"/>
      <c r="N2" s="107"/>
      <c r="O2" s="107"/>
      <c r="P2" s="107"/>
      <c r="Q2" s="107"/>
      <c r="R2" s="107"/>
      <c r="S2" s="107"/>
      <c r="T2" s="107"/>
      <c r="U2" s="107"/>
      <c r="V2" s="107"/>
      <c r="W2" s="107"/>
      <c r="X2" s="107"/>
      <c r="Y2" s="107"/>
      <c r="Z2" s="107"/>
      <c r="AA2" s="107"/>
      <c r="AB2" s="107"/>
      <c r="AC2" s="107"/>
      <c r="AD2" s="107"/>
      <c r="AE2" s="107"/>
      <c r="AF2" s="107"/>
      <c r="AG2" s="107"/>
      <c r="AH2" s="107"/>
    </row>
    <row r="3" spans="2:34" ht="19.899999999999999" customHeight="1" thickBot="1" x14ac:dyDescent="0.45">
      <c r="B3" s="7"/>
      <c r="C3" s="7"/>
      <c r="D3" s="5"/>
      <c r="E3" s="5"/>
      <c r="F3" s="5"/>
      <c r="G3" s="5"/>
      <c r="H3" s="5"/>
      <c r="I3" s="5"/>
      <c r="J3" s="5"/>
      <c r="K3" s="5"/>
      <c r="L3" s="5"/>
      <c r="M3" s="5"/>
      <c r="N3" s="5"/>
      <c r="O3" s="5"/>
      <c r="P3" s="5"/>
      <c r="Q3" s="5"/>
      <c r="R3" s="5"/>
      <c r="S3" s="5"/>
      <c r="T3" s="5"/>
      <c r="U3" s="5"/>
      <c r="V3" s="5"/>
      <c r="W3" s="5"/>
      <c r="X3" s="5"/>
      <c r="Y3" s="5"/>
      <c r="Z3" s="5"/>
      <c r="AA3" s="5"/>
      <c r="AB3" s="5"/>
      <c r="AC3" s="5" t="s">
        <v>211</v>
      </c>
      <c r="AE3" s="125">
        <f ca="1">TODAY()</f>
        <v>46224</v>
      </c>
      <c r="AF3" s="125"/>
      <c r="AG3" s="125"/>
      <c r="AH3" s="125"/>
    </row>
    <row r="4" spans="2:34" ht="19.899999999999999" customHeight="1" x14ac:dyDescent="0.4">
      <c r="B4" s="127" t="s">
        <v>101</v>
      </c>
      <c r="C4" s="128"/>
      <c r="D4" s="128"/>
      <c r="E4" s="128"/>
      <c r="F4" s="129"/>
      <c r="G4" s="59" t="s">
        <v>228</v>
      </c>
      <c r="H4" s="60"/>
      <c r="I4" s="60"/>
      <c r="J4" s="60"/>
      <c r="K4" s="60"/>
      <c r="L4" s="60"/>
      <c r="M4" s="60"/>
      <c r="N4" s="61"/>
      <c r="O4" s="81" t="s">
        <v>0</v>
      </c>
      <c r="P4" s="82"/>
      <c r="Q4" s="82"/>
      <c r="R4" s="83"/>
      <c r="S4" s="81" t="s">
        <v>1</v>
      </c>
      <c r="T4" s="82"/>
      <c r="U4" s="82"/>
      <c r="V4" s="83"/>
      <c r="W4" s="81" t="s">
        <v>102</v>
      </c>
      <c r="X4" s="82"/>
      <c r="Y4" s="83"/>
      <c r="Z4" s="119">
        <v>46023</v>
      </c>
      <c r="AA4" s="120"/>
      <c r="AB4" s="120"/>
      <c r="AC4" s="120"/>
      <c r="AD4" s="120"/>
      <c r="AE4" s="120"/>
      <c r="AF4" s="120"/>
      <c r="AG4" s="120"/>
      <c r="AH4" s="121"/>
    </row>
    <row r="5" spans="2:34" ht="19.899999999999999" customHeight="1" thickBot="1" x14ac:dyDescent="0.45">
      <c r="B5" s="71"/>
      <c r="C5" s="68"/>
      <c r="D5" s="68"/>
      <c r="E5" s="68"/>
      <c r="F5" s="69"/>
      <c r="G5" s="62"/>
      <c r="H5" s="63"/>
      <c r="I5" s="63"/>
      <c r="J5" s="63"/>
      <c r="K5" s="63"/>
      <c r="L5" s="63"/>
      <c r="M5" s="63"/>
      <c r="N5" s="64"/>
      <c r="O5" s="84" t="s">
        <v>229</v>
      </c>
      <c r="P5" s="85"/>
      <c r="Q5" s="85"/>
      <c r="R5" s="86"/>
      <c r="S5" s="84">
        <f ca="1">DATEDIF(誕生日!A2,TODAY(),"Y")</f>
        <v>26</v>
      </c>
      <c r="T5" s="85"/>
      <c r="U5" s="85"/>
      <c r="V5" s="86"/>
      <c r="W5" s="104" t="s">
        <v>212</v>
      </c>
      <c r="X5" s="105"/>
      <c r="Y5" s="106"/>
      <c r="Z5" s="122" t="s">
        <v>213</v>
      </c>
      <c r="AA5" s="123"/>
      <c r="AB5" s="123"/>
      <c r="AC5" s="123"/>
      <c r="AD5" s="123"/>
      <c r="AE5" s="123"/>
      <c r="AF5" s="123"/>
      <c r="AG5" s="123"/>
      <c r="AH5" s="124"/>
    </row>
    <row r="6" spans="2:34" ht="19.899999999999999" customHeight="1" thickBot="1" x14ac:dyDescent="0.45">
      <c r="B6" s="8"/>
      <c r="C6" s="8"/>
      <c r="D6" s="8"/>
      <c r="E6" s="8"/>
      <c r="F6" s="8"/>
      <c r="G6" s="9"/>
      <c r="H6" s="9"/>
      <c r="I6" s="9"/>
      <c r="J6" s="9"/>
      <c r="K6" s="9"/>
      <c r="L6" s="9"/>
      <c r="M6" s="9"/>
      <c r="N6" s="9"/>
      <c r="O6" s="9"/>
      <c r="P6" s="9"/>
      <c r="Q6" s="9"/>
      <c r="R6" s="9"/>
      <c r="S6" s="9"/>
      <c r="T6" s="10"/>
      <c r="U6" s="10"/>
      <c r="V6" s="10"/>
      <c r="W6" s="8"/>
      <c r="X6" s="8"/>
      <c r="Y6" s="8"/>
      <c r="Z6" s="11"/>
      <c r="AA6" s="11"/>
      <c r="AB6" s="11"/>
      <c r="AC6" s="11"/>
      <c r="AD6" s="11"/>
      <c r="AE6" s="11"/>
      <c r="AF6" s="11"/>
      <c r="AG6" s="11"/>
      <c r="AH6" s="11"/>
    </row>
    <row r="7" spans="2:34" ht="19.899999999999999" customHeight="1" thickBot="1" x14ac:dyDescent="0.45">
      <c r="B7" s="114" t="s">
        <v>201</v>
      </c>
      <c r="C7" s="82"/>
      <c r="D7" s="82"/>
      <c r="E7" s="82"/>
      <c r="F7" s="83"/>
      <c r="G7" s="102" t="str">
        <f>B7&amp;"てすと"</f>
        <v>参画先企業てすと</v>
      </c>
      <c r="H7" s="102"/>
      <c r="I7" s="102"/>
      <c r="J7" s="102"/>
      <c r="K7" s="102"/>
      <c r="L7" s="102"/>
      <c r="M7" s="102"/>
      <c r="N7" s="102"/>
      <c r="O7" s="102"/>
      <c r="P7" s="102"/>
      <c r="Q7" s="102"/>
      <c r="R7" s="102"/>
      <c r="S7" s="102"/>
      <c r="T7" s="102"/>
      <c r="U7" s="102"/>
      <c r="V7" s="102"/>
      <c r="W7" s="102"/>
      <c r="X7" s="102"/>
      <c r="Y7" s="102"/>
      <c r="Z7" s="102"/>
      <c r="AA7" s="102"/>
      <c r="AB7" s="102"/>
      <c r="AC7" s="102"/>
      <c r="AD7" s="102"/>
      <c r="AE7" s="102"/>
      <c r="AF7" s="102"/>
      <c r="AG7" s="102"/>
      <c r="AH7" s="103"/>
    </row>
    <row r="8" spans="2:34" ht="19.899999999999999" customHeight="1" x14ac:dyDescent="0.4">
      <c r="B8" s="99" t="s">
        <v>202</v>
      </c>
      <c r="C8" s="100"/>
      <c r="D8" s="100"/>
      <c r="E8" s="100"/>
      <c r="F8" s="101"/>
      <c r="G8" s="102" t="str">
        <f>B8&amp;"てすと"</f>
        <v>作業場所てすと</v>
      </c>
      <c r="H8" s="102"/>
      <c r="I8" s="102"/>
      <c r="J8" s="102"/>
      <c r="K8" s="102"/>
      <c r="L8" s="102"/>
      <c r="M8" s="102"/>
      <c r="N8" s="102"/>
      <c r="O8" s="102"/>
      <c r="P8" s="102"/>
      <c r="Q8" s="102"/>
      <c r="R8" s="102"/>
      <c r="S8" s="102"/>
      <c r="T8" s="102"/>
      <c r="U8" s="102"/>
      <c r="V8" s="102"/>
      <c r="W8" s="102"/>
      <c r="X8" s="102"/>
      <c r="Y8" s="102"/>
      <c r="Z8" s="102"/>
      <c r="AA8" s="102"/>
      <c r="AB8" s="102"/>
      <c r="AC8" s="102"/>
      <c r="AD8" s="102"/>
      <c r="AE8" s="102"/>
      <c r="AF8" s="102"/>
      <c r="AG8" s="102"/>
      <c r="AH8" s="103"/>
    </row>
    <row r="9" spans="2:34" ht="19.899999999999999" customHeight="1" thickBot="1" x14ac:dyDescent="0.45">
      <c r="B9" s="151" t="s">
        <v>220</v>
      </c>
      <c r="C9" s="105"/>
      <c r="D9" s="105"/>
      <c r="E9" s="105"/>
      <c r="F9" s="106"/>
      <c r="G9" s="131" t="s">
        <v>222</v>
      </c>
      <c r="H9" s="131"/>
      <c r="I9" s="131"/>
      <c r="J9" s="130" t="s">
        <v>230</v>
      </c>
      <c r="K9" s="130"/>
      <c r="L9" s="130"/>
      <c r="M9" s="130"/>
      <c r="N9" s="131" t="s">
        <v>223</v>
      </c>
      <c r="O9" s="131"/>
      <c r="P9" s="131"/>
      <c r="Q9" s="130" t="s">
        <v>231</v>
      </c>
      <c r="R9" s="130"/>
      <c r="S9" s="130"/>
      <c r="T9" s="130"/>
      <c r="U9" s="131" t="s">
        <v>224</v>
      </c>
      <c r="V9" s="131"/>
      <c r="W9" s="131"/>
      <c r="X9" s="130" t="s">
        <v>232</v>
      </c>
      <c r="Y9" s="130"/>
      <c r="Z9" s="130"/>
      <c r="AA9" s="130"/>
      <c r="AB9" s="131" t="s">
        <v>225</v>
      </c>
      <c r="AC9" s="131"/>
      <c r="AD9" s="131"/>
      <c r="AE9" s="130" t="s">
        <v>232</v>
      </c>
      <c r="AF9" s="130"/>
      <c r="AG9" s="130"/>
      <c r="AH9" s="132"/>
    </row>
    <row r="10" spans="2:34" ht="19.899999999999999" customHeight="1" thickBot="1" x14ac:dyDescent="0.45">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row>
    <row r="11" spans="2:34" ht="19.899999999999999" customHeight="1" x14ac:dyDescent="0.4">
      <c r="B11" s="118"/>
      <c r="C11" s="83"/>
      <c r="D11" s="44"/>
      <c r="E11" s="44"/>
      <c r="F11" s="44"/>
      <c r="G11" s="81" t="s">
        <v>73</v>
      </c>
      <c r="H11" s="82"/>
      <c r="I11" s="82"/>
      <c r="J11" s="82"/>
      <c r="K11" s="82"/>
      <c r="L11" s="82"/>
      <c r="M11" s="82"/>
      <c r="N11" s="82"/>
      <c r="O11" s="82"/>
      <c r="P11" s="82"/>
      <c r="Q11" s="82"/>
      <c r="R11" s="82"/>
      <c r="S11" s="82"/>
      <c r="T11" s="82"/>
      <c r="U11" s="82"/>
      <c r="V11" s="82"/>
      <c r="W11" s="82"/>
      <c r="X11" s="82"/>
      <c r="Y11" s="82"/>
      <c r="Z11" s="82"/>
      <c r="AA11" s="82"/>
      <c r="AB11" s="82"/>
      <c r="AC11" s="82"/>
      <c r="AD11" s="82"/>
      <c r="AE11" s="82"/>
      <c r="AF11" s="82"/>
      <c r="AG11" s="82"/>
      <c r="AH11" s="126"/>
    </row>
    <row r="12" spans="2:34" ht="19.899999999999999" customHeight="1" x14ac:dyDescent="0.4">
      <c r="B12" s="116" t="s">
        <v>3</v>
      </c>
      <c r="C12" s="29"/>
      <c r="D12" s="117"/>
      <c r="E12" s="117"/>
      <c r="F12" s="117"/>
      <c r="G12" s="36" t="s">
        <v>140</v>
      </c>
      <c r="H12" s="37"/>
      <c r="I12" s="37"/>
      <c r="J12" s="37"/>
      <c r="K12" s="37"/>
      <c r="L12" s="37"/>
      <c r="M12" s="39"/>
      <c r="N12" s="36" t="s">
        <v>106</v>
      </c>
      <c r="O12" s="37"/>
      <c r="P12" s="37"/>
      <c r="Q12" s="37"/>
      <c r="R12" s="37"/>
      <c r="S12" s="37"/>
      <c r="T12" s="39"/>
      <c r="U12" s="36" t="s">
        <v>141</v>
      </c>
      <c r="V12" s="37"/>
      <c r="W12" s="37"/>
      <c r="X12" s="37"/>
      <c r="Y12" s="37"/>
      <c r="Z12" s="37"/>
      <c r="AA12" s="39"/>
      <c r="AB12" s="36" t="s">
        <v>36</v>
      </c>
      <c r="AC12" s="37"/>
      <c r="AD12" s="37"/>
      <c r="AE12" s="37"/>
      <c r="AF12" s="37"/>
      <c r="AG12" s="37"/>
      <c r="AH12" s="38"/>
    </row>
    <row r="13" spans="2:34" ht="19.899999999999999" customHeight="1" x14ac:dyDescent="0.4">
      <c r="B13" s="115"/>
      <c r="C13" s="101"/>
      <c r="D13" s="46"/>
      <c r="E13" s="46"/>
      <c r="F13" s="46"/>
      <c r="G13" s="36"/>
      <c r="H13" s="37"/>
      <c r="I13" s="37"/>
      <c r="J13" s="37"/>
      <c r="K13" s="37"/>
      <c r="L13" s="37"/>
      <c r="M13" s="39"/>
      <c r="N13" s="36"/>
      <c r="O13" s="37"/>
      <c r="P13" s="37"/>
      <c r="Q13" s="37"/>
      <c r="R13" s="37"/>
      <c r="S13" s="37"/>
      <c r="T13" s="39"/>
      <c r="U13" s="36"/>
      <c r="V13" s="37"/>
      <c r="W13" s="37"/>
      <c r="X13" s="37"/>
      <c r="Y13" s="37"/>
      <c r="Z13" s="37"/>
      <c r="AA13" s="39"/>
      <c r="AB13" s="36"/>
      <c r="AC13" s="37"/>
      <c r="AD13" s="37"/>
      <c r="AE13" s="37"/>
      <c r="AF13" s="37"/>
      <c r="AG13" s="37"/>
      <c r="AH13" s="38"/>
    </row>
    <row r="14" spans="2:34" ht="19.899999999999999" customHeight="1" x14ac:dyDescent="0.4">
      <c r="B14" s="115" t="s">
        <v>41</v>
      </c>
      <c r="C14" s="101"/>
      <c r="D14" s="46"/>
      <c r="E14" s="46"/>
      <c r="F14" s="46"/>
      <c r="G14" s="36" t="s">
        <v>53</v>
      </c>
      <c r="H14" s="37"/>
      <c r="I14" s="37"/>
      <c r="J14" s="37"/>
      <c r="K14" s="37"/>
      <c r="L14" s="37"/>
      <c r="M14" s="39"/>
      <c r="N14" s="36" t="s">
        <v>149</v>
      </c>
      <c r="O14" s="37"/>
      <c r="P14" s="37"/>
      <c r="Q14" s="37"/>
      <c r="R14" s="37"/>
      <c r="S14" s="37"/>
      <c r="T14" s="39"/>
      <c r="U14" s="36" t="s">
        <v>50</v>
      </c>
      <c r="V14" s="37"/>
      <c r="W14" s="37"/>
      <c r="X14" s="37"/>
      <c r="Y14" s="37"/>
      <c r="Z14" s="37"/>
      <c r="AA14" s="39"/>
      <c r="AB14" s="36" t="s">
        <v>119</v>
      </c>
      <c r="AC14" s="37"/>
      <c r="AD14" s="37"/>
      <c r="AE14" s="37"/>
      <c r="AF14" s="37"/>
      <c r="AG14" s="37"/>
      <c r="AH14" s="38"/>
    </row>
    <row r="15" spans="2:34" ht="19.899999999999999" customHeight="1" x14ac:dyDescent="0.4">
      <c r="B15" s="115"/>
      <c r="C15" s="101"/>
      <c r="D15" s="46"/>
      <c r="E15" s="46"/>
      <c r="F15" s="46"/>
      <c r="G15" s="36"/>
      <c r="H15" s="37"/>
      <c r="I15" s="37"/>
      <c r="J15" s="37"/>
      <c r="K15" s="37"/>
      <c r="L15" s="37"/>
      <c r="M15" s="39"/>
      <c r="N15" s="36"/>
      <c r="O15" s="37"/>
      <c r="P15" s="37"/>
      <c r="Q15" s="37"/>
      <c r="R15" s="37"/>
      <c r="S15" s="37"/>
      <c r="T15" s="39"/>
      <c r="U15" s="36"/>
      <c r="V15" s="37"/>
      <c r="W15" s="37"/>
      <c r="X15" s="37"/>
      <c r="Y15" s="37"/>
      <c r="Z15" s="37"/>
      <c r="AA15" s="39"/>
      <c r="AB15" s="36"/>
      <c r="AC15" s="37"/>
      <c r="AD15" s="37"/>
      <c r="AE15" s="37"/>
      <c r="AF15" s="37"/>
      <c r="AG15" s="37"/>
      <c r="AH15" s="38"/>
    </row>
    <row r="16" spans="2:34" ht="19.899999999999999" customHeight="1" x14ac:dyDescent="0.4">
      <c r="B16" s="115" t="s">
        <v>5</v>
      </c>
      <c r="C16" s="101"/>
      <c r="D16" s="46"/>
      <c r="E16" s="46"/>
      <c r="F16" s="46"/>
      <c r="G16" s="36" t="s">
        <v>20</v>
      </c>
      <c r="H16" s="37"/>
      <c r="I16" s="37"/>
      <c r="J16" s="37"/>
      <c r="K16" s="37"/>
      <c r="L16" s="37"/>
      <c r="M16" s="39"/>
      <c r="N16" s="36" t="s">
        <v>22</v>
      </c>
      <c r="O16" s="37"/>
      <c r="P16" s="37"/>
      <c r="Q16" s="37"/>
      <c r="R16" s="37"/>
      <c r="S16" s="37"/>
      <c r="T16" s="39"/>
      <c r="U16" s="36" t="s">
        <v>47</v>
      </c>
      <c r="V16" s="37"/>
      <c r="W16" s="37"/>
      <c r="X16" s="37"/>
      <c r="Y16" s="37"/>
      <c r="Z16" s="37"/>
      <c r="AA16" s="39"/>
      <c r="AB16" s="36"/>
      <c r="AC16" s="37"/>
      <c r="AD16" s="37"/>
      <c r="AE16" s="37"/>
      <c r="AF16" s="37"/>
      <c r="AG16" s="37"/>
      <c r="AH16" s="38"/>
    </row>
    <row r="17" spans="2:34" ht="19.899999999999999" customHeight="1" x14ac:dyDescent="0.4">
      <c r="B17" s="115"/>
      <c r="C17" s="101"/>
      <c r="D17" s="46"/>
      <c r="E17" s="46"/>
      <c r="F17" s="46"/>
      <c r="G17" s="36"/>
      <c r="H17" s="37"/>
      <c r="I17" s="37"/>
      <c r="J17" s="37"/>
      <c r="K17" s="37"/>
      <c r="L17" s="37"/>
      <c r="M17" s="39"/>
      <c r="N17" s="36"/>
      <c r="O17" s="37"/>
      <c r="P17" s="37"/>
      <c r="Q17" s="37"/>
      <c r="R17" s="37"/>
      <c r="S17" s="37"/>
      <c r="T17" s="39"/>
      <c r="U17" s="36"/>
      <c r="V17" s="37"/>
      <c r="W17" s="37"/>
      <c r="X17" s="37"/>
      <c r="Y17" s="37"/>
      <c r="Z17" s="37"/>
      <c r="AA17" s="39"/>
      <c r="AB17" s="36"/>
      <c r="AC17" s="37"/>
      <c r="AD17" s="37"/>
      <c r="AE17" s="37"/>
      <c r="AF17" s="37"/>
      <c r="AG17" s="37"/>
      <c r="AH17" s="38"/>
    </row>
    <row r="18" spans="2:34" ht="19.899999999999999" customHeight="1" x14ac:dyDescent="0.4">
      <c r="B18" s="108" t="s">
        <v>95</v>
      </c>
      <c r="C18" s="109"/>
      <c r="D18" s="110"/>
      <c r="E18" s="110"/>
      <c r="F18" s="110"/>
      <c r="G18" s="36" t="s">
        <v>37</v>
      </c>
      <c r="H18" s="37"/>
      <c r="I18" s="37"/>
      <c r="J18" s="37"/>
      <c r="K18" s="37"/>
      <c r="L18" s="37"/>
      <c r="M18" s="39"/>
      <c r="N18" s="36" t="s">
        <v>35</v>
      </c>
      <c r="O18" s="37"/>
      <c r="P18" s="37"/>
      <c r="Q18" s="37"/>
      <c r="R18" s="37"/>
      <c r="S18" s="37"/>
      <c r="T18" s="39"/>
      <c r="U18" s="36" t="s">
        <v>76</v>
      </c>
      <c r="V18" s="37"/>
      <c r="W18" s="37"/>
      <c r="X18" s="37"/>
      <c r="Y18" s="37"/>
      <c r="Z18" s="37"/>
      <c r="AA18" s="39"/>
      <c r="AB18" s="36"/>
      <c r="AC18" s="37"/>
      <c r="AD18" s="37"/>
      <c r="AE18" s="37"/>
      <c r="AF18" s="37"/>
      <c r="AG18" s="37"/>
      <c r="AH18" s="38"/>
    </row>
    <row r="19" spans="2:34" ht="19.899999999999999" customHeight="1" x14ac:dyDescent="0.4">
      <c r="B19" s="108"/>
      <c r="C19" s="109"/>
      <c r="D19" s="110"/>
      <c r="E19" s="110"/>
      <c r="F19" s="110"/>
      <c r="G19" s="36"/>
      <c r="H19" s="37"/>
      <c r="I19" s="37"/>
      <c r="J19" s="37"/>
      <c r="K19" s="37"/>
      <c r="L19" s="37"/>
      <c r="M19" s="39"/>
      <c r="N19" s="36"/>
      <c r="O19" s="37"/>
      <c r="P19" s="37"/>
      <c r="Q19" s="37"/>
      <c r="R19" s="37"/>
      <c r="S19" s="37"/>
      <c r="T19" s="39"/>
      <c r="U19" s="36"/>
      <c r="V19" s="37"/>
      <c r="W19" s="37"/>
      <c r="X19" s="37"/>
      <c r="Y19" s="37"/>
      <c r="Z19" s="37"/>
      <c r="AA19" s="39"/>
      <c r="AB19" s="36"/>
      <c r="AC19" s="37"/>
      <c r="AD19" s="37"/>
      <c r="AE19" s="37"/>
      <c r="AF19" s="37"/>
      <c r="AG19" s="37"/>
      <c r="AH19" s="38"/>
    </row>
    <row r="20" spans="2:34" ht="19.899999999999999" customHeight="1" x14ac:dyDescent="0.4">
      <c r="B20" s="108" t="s">
        <v>199</v>
      </c>
      <c r="C20" s="109"/>
      <c r="D20" s="110"/>
      <c r="E20" s="110"/>
      <c r="F20" s="110"/>
      <c r="G20" s="36" t="s">
        <v>142</v>
      </c>
      <c r="H20" s="37"/>
      <c r="I20" s="37"/>
      <c r="J20" s="37"/>
      <c r="K20" s="37"/>
      <c r="L20" s="37"/>
      <c r="M20" s="39"/>
      <c r="N20" s="36" t="s">
        <v>99</v>
      </c>
      <c r="O20" s="37"/>
      <c r="P20" s="37"/>
      <c r="Q20" s="37"/>
      <c r="R20" s="37"/>
      <c r="S20" s="37"/>
      <c r="T20" s="39"/>
      <c r="U20" s="36" t="s">
        <v>136</v>
      </c>
      <c r="V20" s="37"/>
      <c r="W20" s="37"/>
      <c r="X20" s="37"/>
      <c r="Y20" s="37"/>
      <c r="Z20" s="37"/>
      <c r="AA20" s="39"/>
      <c r="AB20" s="36"/>
      <c r="AC20" s="37"/>
      <c r="AD20" s="37"/>
      <c r="AE20" s="37"/>
      <c r="AF20" s="37"/>
      <c r="AG20" s="37"/>
      <c r="AH20" s="38"/>
    </row>
    <row r="21" spans="2:34" ht="19.899999999999999" customHeight="1" thickBot="1" x14ac:dyDescent="0.45">
      <c r="B21" s="111"/>
      <c r="C21" s="112"/>
      <c r="D21" s="113"/>
      <c r="E21" s="113"/>
      <c r="F21" s="113"/>
      <c r="G21" s="40"/>
      <c r="H21" s="41"/>
      <c r="I21" s="41"/>
      <c r="J21" s="41"/>
      <c r="K21" s="41"/>
      <c r="L21" s="41"/>
      <c r="M21" s="42"/>
      <c r="N21" s="40"/>
      <c r="O21" s="41"/>
      <c r="P21" s="41"/>
      <c r="Q21" s="41"/>
      <c r="R21" s="41"/>
      <c r="S21" s="41"/>
      <c r="T21" s="42"/>
      <c r="U21" s="40"/>
      <c r="V21" s="41"/>
      <c r="W21" s="41"/>
      <c r="X21" s="41"/>
      <c r="Y21" s="41"/>
      <c r="Z21" s="41"/>
      <c r="AA21" s="42"/>
      <c r="AB21" s="40"/>
      <c r="AC21" s="41"/>
      <c r="AD21" s="41"/>
      <c r="AE21" s="41"/>
      <c r="AF21" s="41"/>
      <c r="AG21" s="41"/>
      <c r="AH21" s="43"/>
    </row>
    <row r="22" spans="2:34" s="5" customFormat="1" ht="19.899999999999999" customHeight="1" thickBot="1" x14ac:dyDescent="0.45">
      <c r="B22" s="13"/>
      <c r="C22" s="13"/>
      <c r="D22" s="13"/>
      <c r="E22" s="13"/>
      <c r="F22" s="13"/>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row>
    <row r="23" spans="2:34" ht="19.899999999999999" customHeight="1" x14ac:dyDescent="0.4">
      <c r="B23" s="127" t="s">
        <v>9</v>
      </c>
      <c r="C23" s="128"/>
      <c r="D23" s="128"/>
      <c r="E23" s="128"/>
      <c r="F23" s="129"/>
      <c r="G23" s="140" t="s">
        <v>221</v>
      </c>
      <c r="H23" s="128"/>
      <c r="I23" s="128"/>
      <c r="J23" s="128"/>
      <c r="K23" s="128"/>
      <c r="L23" s="128"/>
      <c r="M23" s="128"/>
      <c r="N23" s="128"/>
      <c r="O23" s="128"/>
      <c r="P23" s="128"/>
      <c r="Q23" s="128"/>
      <c r="R23" s="128"/>
      <c r="S23" s="128"/>
      <c r="T23" s="128"/>
      <c r="U23" s="128"/>
      <c r="V23" s="128"/>
      <c r="W23" s="128"/>
      <c r="X23" s="128"/>
      <c r="Y23" s="129"/>
      <c r="Z23" s="44" t="s">
        <v>10</v>
      </c>
      <c r="AA23" s="44"/>
      <c r="AB23" s="44"/>
      <c r="AC23" s="44"/>
      <c r="AD23" s="44"/>
      <c r="AE23" s="44"/>
      <c r="AF23" s="44"/>
      <c r="AG23" s="44"/>
      <c r="AH23" s="45"/>
    </row>
    <row r="24" spans="2:34" ht="19.899999999999999" customHeight="1" x14ac:dyDescent="0.4">
      <c r="B24" s="24"/>
      <c r="C24" s="25"/>
      <c r="D24" s="25"/>
      <c r="E24" s="25"/>
      <c r="F24" s="26"/>
      <c r="G24" s="66"/>
      <c r="H24" s="25"/>
      <c r="I24" s="25"/>
      <c r="J24" s="25"/>
      <c r="K24" s="25"/>
      <c r="L24" s="25"/>
      <c r="M24" s="25"/>
      <c r="N24" s="25"/>
      <c r="O24" s="25"/>
      <c r="P24" s="25"/>
      <c r="Q24" s="25"/>
      <c r="R24" s="25"/>
      <c r="S24" s="25"/>
      <c r="T24" s="25"/>
      <c r="U24" s="25"/>
      <c r="V24" s="25"/>
      <c r="W24" s="25"/>
      <c r="X24" s="25"/>
      <c r="Y24" s="26"/>
      <c r="Z24" s="46"/>
      <c r="AA24" s="46"/>
      <c r="AB24" s="46"/>
      <c r="AC24" s="46"/>
      <c r="AD24" s="46"/>
      <c r="AE24" s="46"/>
      <c r="AF24" s="46"/>
      <c r="AG24" s="46"/>
      <c r="AH24" s="47"/>
    </row>
    <row r="25" spans="2:34" ht="19.899999999999999" customHeight="1" x14ac:dyDescent="0.4">
      <c r="B25" s="24"/>
      <c r="C25" s="25"/>
      <c r="D25" s="25"/>
      <c r="E25" s="25"/>
      <c r="F25" s="26"/>
      <c r="G25" s="66"/>
      <c r="H25" s="25"/>
      <c r="I25" s="25"/>
      <c r="J25" s="25"/>
      <c r="K25" s="25"/>
      <c r="L25" s="25"/>
      <c r="M25" s="25"/>
      <c r="N25" s="25"/>
      <c r="O25" s="25"/>
      <c r="P25" s="25"/>
      <c r="Q25" s="25"/>
      <c r="R25" s="25"/>
      <c r="S25" s="25"/>
      <c r="T25" s="25"/>
      <c r="U25" s="25"/>
      <c r="V25" s="25"/>
      <c r="W25" s="25"/>
      <c r="X25" s="25"/>
      <c r="Y25" s="26"/>
      <c r="Z25" s="46"/>
      <c r="AA25" s="46"/>
      <c r="AB25" s="46"/>
      <c r="AC25" s="46"/>
      <c r="AD25" s="46"/>
      <c r="AE25" s="46"/>
      <c r="AF25" s="46"/>
      <c r="AG25" s="46"/>
      <c r="AH25" s="47"/>
    </row>
    <row r="26" spans="2:34" ht="19.899999999999999" customHeight="1" x14ac:dyDescent="0.4">
      <c r="B26" s="27"/>
      <c r="C26" s="28"/>
      <c r="D26" s="28"/>
      <c r="E26" s="28"/>
      <c r="F26" s="29"/>
      <c r="G26" s="141"/>
      <c r="H26" s="28"/>
      <c r="I26" s="28"/>
      <c r="J26" s="28"/>
      <c r="K26" s="28"/>
      <c r="L26" s="28"/>
      <c r="M26" s="28"/>
      <c r="N26" s="28"/>
      <c r="O26" s="28"/>
      <c r="P26" s="28"/>
      <c r="Q26" s="28"/>
      <c r="R26" s="28"/>
      <c r="S26" s="28"/>
      <c r="T26" s="28"/>
      <c r="U26" s="28"/>
      <c r="V26" s="28"/>
      <c r="W26" s="28"/>
      <c r="X26" s="28"/>
      <c r="Y26" s="29"/>
      <c r="Z26" s="46"/>
      <c r="AA26" s="46"/>
      <c r="AB26" s="46"/>
      <c r="AC26" s="46"/>
      <c r="AD26" s="46"/>
      <c r="AE26" s="46"/>
      <c r="AF26" s="46"/>
      <c r="AG26" s="46"/>
      <c r="AH26" s="47"/>
    </row>
    <row r="27" spans="2:34" ht="19.899999999999999" customHeight="1" x14ac:dyDescent="0.4">
      <c r="B27" s="152">
        <v>45658</v>
      </c>
      <c r="C27" s="153"/>
      <c r="D27" s="153"/>
      <c r="E27" s="153"/>
      <c r="F27" s="154"/>
      <c r="G27" s="96" t="s">
        <v>233</v>
      </c>
      <c r="H27" s="97"/>
      <c r="I27" s="97"/>
      <c r="J27" s="97"/>
      <c r="K27" s="97"/>
      <c r="L27" s="97"/>
      <c r="M27" s="97"/>
      <c r="N27" s="97"/>
      <c r="O27" s="97"/>
      <c r="P27" s="97"/>
      <c r="Q27" s="97"/>
      <c r="R27" s="97"/>
      <c r="S27" s="97"/>
      <c r="T27" s="97"/>
      <c r="U27" s="97"/>
      <c r="V27" s="97"/>
      <c r="W27" s="97"/>
      <c r="X27" s="97"/>
      <c r="Y27" s="98"/>
      <c r="Z27" s="48" t="s">
        <v>94</v>
      </c>
      <c r="AA27" s="52" t="s">
        <v>93</v>
      </c>
      <c r="AB27" s="52" t="s">
        <v>64</v>
      </c>
      <c r="AC27" s="52" t="s">
        <v>65</v>
      </c>
      <c r="AD27" s="52" t="s">
        <v>66</v>
      </c>
      <c r="AE27" s="52" t="s">
        <v>67</v>
      </c>
      <c r="AF27" s="52" t="s">
        <v>68</v>
      </c>
      <c r="AG27" s="52" t="s">
        <v>69</v>
      </c>
      <c r="AH27" s="133" t="s">
        <v>70</v>
      </c>
    </row>
    <row r="28" spans="2:34" ht="19.899999999999999" customHeight="1" x14ac:dyDescent="0.4">
      <c r="B28" s="155"/>
      <c r="C28" s="156"/>
      <c r="D28" s="156"/>
      <c r="E28" s="156"/>
      <c r="F28" s="157"/>
      <c r="G28" s="142" t="s">
        <v>234</v>
      </c>
      <c r="H28" s="143"/>
      <c r="I28" s="143"/>
      <c r="J28" s="143"/>
      <c r="K28" s="143"/>
      <c r="L28" s="143"/>
      <c r="M28" s="143"/>
      <c r="N28" s="143"/>
      <c r="O28" s="143"/>
      <c r="P28" s="143"/>
      <c r="Q28" s="143"/>
      <c r="R28" s="143"/>
      <c r="S28" s="143"/>
      <c r="T28" s="143"/>
      <c r="U28" s="143"/>
      <c r="V28" s="143"/>
      <c r="W28" s="143"/>
      <c r="X28" s="143"/>
      <c r="Y28" s="144"/>
      <c r="Z28" s="49"/>
      <c r="AA28" s="53"/>
      <c r="AB28" s="53"/>
      <c r="AC28" s="53"/>
      <c r="AD28" s="53"/>
      <c r="AE28" s="53"/>
      <c r="AF28" s="53"/>
      <c r="AG28" s="53"/>
      <c r="AH28" s="134"/>
    </row>
    <row r="29" spans="2:34" ht="19.899999999999999" customHeight="1" x14ac:dyDescent="0.4">
      <c r="B29" s="158"/>
      <c r="C29" s="159"/>
      <c r="D29" s="159"/>
      <c r="E29" s="159"/>
      <c r="F29" s="160"/>
      <c r="G29" s="145"/>
      <c r="H29" s="146"/>
      <c r="I29" s="146"/>
      <c r="J29" s="146"/>
      <c r="K29" s="146"/>
      <c r="L29" s="146"/>
      <c r="M29" s="146"/>
      <c r="N29" s="146"/>
      <c r="O29" s="146"/>
      <c r="P29" s="146"/>
      <c r="Q29" s="146"/>
      <c r="R29" s="146"/>
      <c r="S29" s="146"/>
      <c r="T29" s="146"/>
      <c r="U29" s="146"/>
      <c r="V29" s="146"/>
      <c r="W29" s="146"/>
      <c r="X29" s="146"/>
      <c r="Y29" s="147"/>
      <c r="Z29" s="50"/>
      <c r="AA29" s="54"/>
      <c r="AB29" s="54"/>
      <c r="AC29" s="54"/>
      <c r="AD29" s="54"/>
      <c r="AE29" s="54"/>
      <c r="AF29" s="54"/>
      <c r="AG29" s="54"/>
      <c r="AH29" s="135"/>
    </row>
    <row r="30" spans="2:34" ht="19.899999999999999" customHeight="1" x14ac:dyDescent="0.4">
      <c r="B30" s="161" t="s">
        <v>71</v>
      </c>
      <c r="C30" s="162"/>
      <c r="D30" s="162"/>
      <c r="E30" s="162"/>
      <c r="F30" s="163"/>
      <c r="G30" s="145"/>
      <c r="H30" s="146"/>
      <c r="I30" s="146"/>
      <c r="J30" s="146"/>
      <c r="K30" s="146"/>
      <c r="L30" s="146"/>
      <c r="M30" s="146"/>
      <c r="N30" s="146"/>
      <c r="O30" s="146"/>
      <c r="P30" s="146"/>
      <c r="Q30" s="146"/>
      <c r="R30" s="146"/>
      <c r="S30" s="146"/>
      <c r="T30" s="146"/>
      <c r="U30" s="146"/>
      <c r="V30" s="146"/>
      <c r="W30" s="146"/>
      <c r="X30" s="146"/>
      <c r="Y30" s="147"/>
      <c r="Z30" s="51"/>
      <c r="AA30" s="55"/>
      <c r="AB30" s="55"/>
      <c r="AC30" s="55"/>
      <c r="AD30" s="55"/>
      <c r="AE30" s="55"/>
      <c r="AF30" s="55"/>
      <c r="AG30" s="55"/>
      <c r="AH30" s="136"/>
    </row>
    <row r="31" spans="2:34" ht="19.899999999999999" customHeight="1" x14ac:dyDescent="0.4">
      <c r="B31" s="152" t="s">
        <v>103</v>
      </c>
      <c r="C31" s="153"/>
      <c r="D31" s="153"/>
      <c r="E31" s="153"/>
      <c r="F31" s="154"/>
      <c r="G31" s="145"/>
      <c r="H31" s="146"/>
      <c r="I31" s="146"/>
      <c r="J31" s="146"/>
      <c r="K31" s="146"/>
      <c r="L31" s="146"/>
      <c r="M31" s="146"/>
      <c r="N31" s="146"/>
      <c r="O31" s="146"/>
      <c r="P31" s="146"/>
      <c r="Q31" s="146"/>
      <c r="R31" s="146"/>
      <c r="S31" s="146"/>
      <c r="T31" s="146"/>
      <c r="U31" s="146"/>
      <c r="V31" s="146"/>
      <c r="W31" s="146"/>
      <c r="X31" s="146"/>
      <c r="Y31" s="147"/>
      <c r="Z31" s="56"/>
      <c r="AA31" s="93"/>
      <c r="AB31" s="93"/>
      <c r="AC31" s="93" t="s">
        <v>235</v>
      </c>
      <c r="AD31" s="93" t="s">
        <v>235</v>
      </c>
      <c r="AE31" s="93" t="s">
        <v>235</v>
      </c>
      <c r="AF31" s="93" t="s">
        <v>235</v>
      </c>
      <c r="AG31" s="93" t="s">
        <v>235</v>
      </c>
      <c r="AH31" s="137" t="s">
        <v>235</v>
      </c>
    </row>
    <row r="32" spans="2:34" ht="19.899999999999999" customHeight="1" x14ac:dyDescent="0.4">
      <c r="B32" s="155"/>
      <c r="C32" s="156"/>
      <c r="D32" s="156"/>
      <c r="E32" s="156"/>
      <c r="F32" s="157"/>
      <c r="G32" s="145"/>
      <c r="H32" s="146"/>
      <c r="I32" s="146"/>
      <c r="J32" s="146"/>
      <c r="K32" s="146"/>
      <c r="L32" s="146"/>
      <c r="M32" s="146"/>
      <c r="N32" s="146"/>
      <c r="O32" s="146"/>
      <c r="P32" s="146"/>
      <c r="Q32" s="146"/>
      <c r="R32" s="146"/>
      <c r="S32" s="146"/>
      <c r="T32" s="146"/>
      <c r="U32" s="146"/>
      <c r="V32" s="146"/>
      <c r="W32" s="146"/>
      <c r="X32" s="146"/>
      <c r="Y32" s="147"/>
      <c r="Z32" s="57"/>
      <c r="AA32" s="94"/>
      <c r="AB32" s="94"/>
      <c r="AC32" s="94"/>
      <c r="AD32" s="94"/>
      <c r="AE32" s="94"/>
      <c r="AF32" s="94"/>
      <c r="AG32" s="94"/>
      <c r="AH32" s="138"/>
    </row>
    <row r="33" spans="2:39" ht="19.899999999999999" customHeight="1" x14ac:dyDescent="0.4">
      <c r="B33" s="158"/>
      <c r="C33" s="159"/>
      <c r="D33" s="159"/>
      <c r="E33" s="159"/>
      <c r="F33" s="160"/>
      <c r="G33" s="145"/>
      <c r="H33" s="146"/>
      <c r="I33" s="146"/>
      <c r="J33" s="146"/>
      <c r="K33" s="146"/>
      <c r="L33" s="146"/>
      <c r="M33" s="146"/>
      <c r="N33" s="146"/>
      <c r="O33" s="146"/>
      <c r="P33" s="146"/>
      <c r="Q33" s="146"/>
      <c r="R33" s="146"/>
      <c r="S33" s="146"/>
      <c r="T33" s="146"/>
      <c r="U33" s="146"/>
      <c r="V33" s="146"/>
      <c r="W33" s="146"/>
      <c r="X33" s="146"/>
      <c r="Y33" s="147"/>
      <c r="Z33" s="57"/>
      <c r="AA33" s="94"/>
      <c r="AB33" s="94"/>
      <c r="AC33" s="94"/>
      <c r="AD33" s="94"/>
      <c r="AE33" s="94"/>
      <c r="AF33" s="94"/>
      <c r="AG33" s="94"/>
      <c r="AH33" s="138"/>
    </row>
    <row r="34" spans="2:39" ht="19.899999999999999" customHeight="1" x14ac:dyDescent="0.4">
      <c r="B34" s="90">
        <f ca="1">IF(B31="現在",DATEDIF(B27,EOMONTH(TODAY(),0)+1,"M"),DATEDIF(B27,B31+1,"M"))</f>
        <v>19</v>
      </c>
      <c r="C34" s="91"/>
      <c r="D34" s="91"/>
      <c r="E34" s="91"/>
      <c r="F34" s="92"/>
      <c r="G34" s="148"/>
      <c r="H34" s="149"/>
      <c r="I34" s="149"/>
      <c r="J34" s="149"/>
      <c r="K34" s="149"/>
      <c r="L34" s="149"/>
      <c r="M34" s="149"/>
      <c r="N34" s="149"/>
      <c r="O34" s="149"/>
      <c r="P34" s="149"/>
      <c r="Q34" s="149"/>
      <c r="R34" s="149"/>
      <c r="S34" s="149"/>
      <c r="T34" s="149"/>
      <c r="U34" s="149"/>
      <c r="V34" s="149"/>
      <c r="W34" s="149"/>
      <c r="X34" s="149"/>
      <c r="Y34" s="150"/>
      <c r="Z34" s="58"/>
      <c r="AA34" s="95"/>
      <c r="AB34" s="95"/>
      <c r="AC34" s="95"/>
      <c r="AD34" s="95"/>
      <c r="AE34" s="95"/>
      <c r="AF34" s="95"/>
      <c r="AG34" s="95"/>
      <c r="AH34" s="139"/>
    </row>
    <row r="35" spans="2:39" ht="19.899999999999999" customHeight="1" x14ac:dyDescent="0.4">
      <c r="B35" s="70" t="s">
        <v>200</v>
      </c>
      <c r="C35" s="22"/>
      <c r="D35" s="22"/>
      <c r="E35" s="22"/>
      <c r="F35" s="23"/>
      <c r="G35" s="30" t="s">
        <v>236</v>
      </c>
      <c r="H35" s="30"/>
      <c r="I35" s="30"/>
      <c r="J35" s="30"/>
      <c r="K35" s="30"/>
      <c r="L35" s="30"/>
      <c r="M35" s="30"/>
      <c r="N35" s="30"/>
      <c r="O35" s="30"/>
      <c r="P35" s="30"/>
      <c r="Q35" s="30"/>
      <c r="R35" s="30"/>
      <c r="S35" s="30"/>
      <c r="T35" s="30"/>
      <c r="U35" s="30"/>
      <c r="V35" s="30"/>
      <c r="W35" s="30"/>
      <c r="X35" s="30"/>
      <c r="Y35" s="30"/>
      <c r="Z35" s="30"/>
      <c r="AA35" s="30"/>
      <c r="AB35" s="30"/>
      <c r="AC35" s="30"/>
      <c r="AD35" s="30"/>
      <c r="AE35" s="30"/>
      <c r="AF35" s="30"/>
      <c r="AG35" s="30"/>
      <c r="AH35" s="31"/>
    </row>
    <row r="36" spans="2:39" ht="19.899999999999999" customHeight="1" x14ac:dyDescent="0.4">
      <c r="B36" s="24"/>
      <c r="C36" s="25"/>
      <c r="D36" s="25"/>
      <c r="E36" s="25"/>
      <c r="F36" s="26"/>
      <c r="G36" s="32"/>
      <c r="H36" s="32"/>
      <c r="I36" s="32"/>
      <c r="J36" s="32"/>
      <c r="K36" s="32"/>
      <c r="L36" s="32"/>
      <c r="M36" s="32"/>
      <c r="N36" s="32"/>
      <c r="O36" s="32"/>
      <c r="P36" s="32"/>
      <c r="Q36" s="32"/>
      <c r="R36" s="32"/>
      <c r="S36" s="32"/>
      <c r="T36" s="32"/>
      <c r="U36" s="32"/>
      <c r="V36" s="32"/>
      <c r="W36" s="32"/>
      <c r="X36" s="32"/>
      <c r="Y36" s="32"/>
      <c r="Z36" s="32"/>
      <c r="AA36" s="32"/>
      <c r="AB36" s="32"/>
      <c r="AC36" s="32"/>
      <c r="AD36" s="32"/>
      <c r="AE36" s="32"/>
      <c r="AF36" s="32"/>
      <c r="AG36" s="32"/>
      <c r="AH36" s="33"/>
    </row>
    <row r="37" spans="2:39" ht="19.899999999999999" customHeight="1" x14ac:dyDescent="0.4">
      <c r="B37" s="27"/>
      <c r="C37" s="28"/>
      <c r="D37" s="28"/>
      <c r="E37" s="28"/>
      <c r="F37" s="29"/>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c r="AG37" s="34"/>
      <c r="AH37" s="35"/>
    </row>
    <row r="38" spans="2:39" ht="19.899999999999999" customHeight="1" x14ac:dyDescent="0.4">
      <c r="B38" s="21" t="s">
        <v>226</v>
      </c>
      <c r="C38" s="22"/>
      <c r="D38" s="22"/>
      <c r="E38" s="22"/>
      <c r="F38" s="23"/>
      <c r="G38" s="30" t="s">
        <v>237</v>
      </c>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1"/>
    </row>
    <row r="39" spans="2:39" ht="19.899999999999999" customHeight="1" x14ac:dyDescent="0.4">
      <c r="B39" s="24"/>
      <c r="C39" s="25"/>
      <c r="D39" s="25"/>
      <c r="E39" s="25"/>
      <c r="F39" s="26"/>
      <c r="G39" s="32"/>
      <c r="H39" s="32"/>
      <c r="I39" s="32"/>
      <c r="J39" s="32"/>
      <c r="K39" s="32"/>
      <c r="L39" s="32"/>
      <c r="M39" s="32"/>
      <c r="N39" s="32"/>
      <c r="O39" s="32"/>
      <c r="P39" s="32"/>
      <c r="Q39" s="32"/>
      <c r="R39" s="32"/>
      <c r="S39" s="32"/>
      <c r="T39" s="32"/>
      <c r="U39" s="32"/>
      <c r="V39" s="32"/>
      <c r="W39" s="32"/>
      <c r="X39" s="32"/>
      <c r="Y39" s="32"/>
      <c r="Z39" s="32"/>
      <c r="AA39" s="32"/>
      <c r="AB39" s="32"/>
      <c r="AC39" s="32"/>
      <c r="AD39" s="32"/>
      <c r="AE39" s="32"/>
      <c r="AF39" s="32"/>
      <c r="AG39" s="32"/>
      <c r="AH39" s="33"/>
    </row>
    <row r="40" spans="2:39" ht="19.899999999999999" customHeight="1" x14ac:dyDescent="0.4">
      <c r="B40" s="27"/>
      <c r="C40" s="28"/>
      <c r="D40" s="28"/>
      <c r="E40" s="28"/>
      <c r="F40" s="29"/>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c r="AG40" s="34"/>
      <c r="AH40" s="35"/>
    </row>
    <row r="41" spans="2:39" ht="19.899999999999999" customHeight="1" x14ac:dyDescent="0.4">
      <c r="B41" s="21" t="s">
        <v>227</v>
      </c>
      <c r="C41" s="22"/>
      <c r="D41" s="22"/>
      <c r="E41" s="22"/>
      <c r="F41" s="23"/>
      <c r="G41" s="30" t="s">
        <v>238</v>
      </c>
      <c r="H41" s="30"/>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30"/>
      <c r="AH41" s="31"/>
    </row>
    <row r="42" spans="2:39" ht="19.899999999999999" customHeight="1" x14ac:dyDescent="0.4">
      <c r="B42" s="24"/>
      <c r="C42" s="25"/>
      <c r="D42" s="25"/>
      <c r="E42" s="25"/>
      <c r="F42" s="26"/>
      <c r="G42" s="32"/>
      <c r="H42" s="32"/>
      <c r="I42" s="32"/>
      <c r="J42" s="32"/>
      <c r="K42" s="32"/>
      <c r="L42" s="32"/>
      <c r="M42" s="32"/>
      <c r="N42" s="32"/>
      <c r="O42" s="32"/>
      <c r="P42" s="32"/>
      <c r="Q42" s="32"/>
      <c r="R42" s="32"/>
      <c r="S42" s="32"/>
      <c r="T42" s="32"/>
      <c r="U42" s="32"/>
      <c r="V42" s="32"/>
      <c r="W42" s="32"/>
      <c r="X42" s="32"/>
      <c r="Y42" s="32"/>
      <c r="Z42" s="32"/>
      <c r="AA42" s="32"/>
      <c r="AB42" s="32"/>
      <c r="AC42" s="32"/>
      <c r="AD42" s="32"/>
      <c r="AE42" s="32"/>
      <c r="AF42" s="32"/>
      <c r="AG42" s="32"/>
      <c r="AH42" s="33"/>
    </row>
    <row r="43" spans="2:39" ht="19.899999999999999" customHeight="1" x14ac:dyDescent="0.4">
      <c r="B43" s="27"/>
      <c r="C43" s="28"/>
      <c r="D43" s="28"/>
      <c r="E43" s="28"/>
      <c r="F43" s="29"/>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5"/>
    </row>
    <row r="44" spans="2:39" ht="19.899999999999999" customHeight="1" x14ac:dyDescent="0.4">
      <c r="B44" s="70" t="s">
        <v>214</v>
      </c>
      <c r="C44" s="22"/>
      <c r="D44" s="22"/>
      <c r="E44" s="22"/>
      <c r="F44" s="23"/>
      <c r="G44" s="87" t="s">
        <v>240</v>
      </c>
      <c r="H44" s="88"/>
      <c r="I44" s="88"/>
      <c r="J44" s="88"/>
      <c r="K44" s="88"/>
      <c r="L44" s="88"/>
      <c r="M44" s="88"/>
      <c r="N44" s="88"/>
      <c r="O44" s="88"/>
      <c r="P44" s="88"/>
      <c r="Q44" s="89"/>
      <c r="R44" s="65" t="s">
        <v>203</v>
      </c>
      <c r="S44" s="22"/>
      <c r="T44" s="22"/>
      <c r="U44" s="22"/>
      <c r="V44" s="23"/>
      <c r="W44" s="15"/>
      <c r="X44" s="15"/>
      <c r="Y44" s="15"/>
      <c r="Z44" s="15"/>
      <c r="AA44" s="15"/>
      <c r="AB44" s="15"/>
      <c r="AC44" s="15"/>
      <c r="AD44" s="15"/>
      <c r="AE44" s="15"/>
      <c r="AF44" s="15"/>
      <c r="AG44" s="15"/>
      <c r="AH44" s="16"/>
    </row>
    <row r="45" spans="2:39" ht="19.899999999999999" customHeight="1" x14ac:dyDescent="0.4">
      <c r="B45" s="27"/>
      <c r="C45" s="28"/>
      <c r="D45" s="28"/>
      <c r="E45" s="28"/>
      <c r="F45" s="29"/>
      <c r="G45" s="75"/>
      <c r="H45" s="76"/>
      <c r="I45" s="76"/>
      <c r="J45" s="76"/>
      <c r="K45" s="76"/>
      <c r="L45" s="76"/>
      <c r="M45" s="76"/>
      <c r="N45" s="76"/>
      <c r="O45" s="76"/>
      <c r="P45" s="76"/>
      <c r="Q45" s="77"/>
      <c r="R45" s="66"/>
      <c r="S45" s="25"/>
      <c r="T45" s="25"/>
      <c r="U45" s="25"/>
      <c r="V45" s="26"/>
      <c r="W45" s="17"/>
      <c r="X45" s="17"/>
      <c r="Y45" s="17"/>
      <c r="Z45" s="17"/>
      <c r="AA45" s="17"/>
      <c r="AB45" s="17"/>
      <c r="AC45" s="17"/>
      <c r="AD45" s="17"/>
      <c r="AE45" s="17"/>
      <c r="AF45" s="17"/>
      <c r="AG45" s="17"/>
      <c r="AH45" s="18"/>
    </row>
    <row r="46" spans="2:39" ht="19.899999999999999" customHeight="1" x14ac:dyDescent="0.4">
      <c r="B46" s="70" t="s">
        <v>215</v>
      </c>
      <c r="C46" s="22"/>
      <c r="D46" s="22"/>
      <c r="E46" s="22"/>
      <c r="F46" s="23"/>
      <c r="G46" s="72" t="s">
        <v>239</v>
      </c>
      <c r="H46" s="73"/>
      <c r="I46" s="73"/>
      <c r="J46" s="73"/>
      <c r="K46" s="73"/>
      <c r="L46" s="73"/>
      <c r="M46" s="73"/>
      <c r="N46" s="73"/>
      <c r="O46" s="73"/>
      <c r="P46" s="73"/>
      <c r="Q46" s="74"/>
      <c r="R46" s="66"/>
      <c r="S46" s="25"/>
      <c r="T46" s="25"/>
      <c r="U46" s="25"/>
      <c r="V46" s="26"/>
      <c r="W46" s="17"/>
      <c r="X46" s="17"/>
      <c r="Y46" s="17"/>
      <c r="Z46" s="17"/>
      <c r="AA46" s="17"/>
      <c r="AB46" s="17"/>
      <c r="AC46" s="17"/>
      <c r="AD46" s="17"/>
      <c r="AE46" s="17"/>
      <c r="AF46" s="17"/>
      <c r="AG46" s="17"/>
      <c r="AH46" s="18"/>
    </row>
    <row r="47" spans="2:39" ht="19.899999999999999" customHeight="1" x14ac:dyDescent="0.4">
      <c r="B47" s="27"/>
      <c r="C47" s="28"/>
      <c r="D47" s="28"/>
      <c r="E47" s="28"/>
      <c r="F47" s="29"/>
      <c r="G47" s="75"/>
      <c r="H47" s="76"/>
      <c r="I47" s="76"/>
      <c r="J47" s="76"/>
      <c r="K47" s="76"/>
      <c r="L47" s="76"/>
      <c r="M47" s="76"/>
      <c r="N47" s="76"/>
      <c r="O47" s="76"/>
      <c r="P47" s="76"/>
      <c r="Q47" s="77"/>
      <c r="R47" s="66"/>
      <c r="S47" s="25"/>
      <c r="T47" s="25"/>
      <c r="U47" s="25"/>
      <c r="V47" s="26"/>
      <c r="W47" s="17"/>
      <c r="X47" s="17"/>
      <c r="Y47" s="17"/>
      <c r="Z47" s="17"/>
      <c r="AA47" s="17"/>
      <c r="AB47" s="17"/>
      <c r="AC47" s="17"/>
      <c r="AD47" s="17"/>
      <c r="AE47" s="17"/>
      <c r="AF47" s="17"/>
      <c r="AG47" s="17"/>
      <c r="AH47" s="18"/>
      <c r="AL47" s="6" t="s">
        <v>203</v>
      </c>
    </row>
    <row r="48" spans="2:39" ht="19.899999999999999" customHeight="1" x14ac:dyDescent="0.4">
      <c r="B48" s="70" t="s">
        <v>216</v>
      </c>
      <c r="C48" s="22"/>
      <c r="D48" s="22"/>
      <c r="E48" s="22"/>
      <c r="F48" s="23"/>
      <c r="G48" s="72" t="s">
        <v>241</v>
      </c>
      <c r="H48" s="73"/>
      <c r="I48" s="73"/>
      <c r="J48" s="73"/>
      <c r="K48" s="73"/>
      <c r="L48" s="73"/>
      <c r="M48" s="73"/>
      <c r="N48" s="73"/>
      <c r="O48" s="73"/>
      <c r="P48" s="73"/>
      <c r="Q48" s="74"/>
      <c r="R48" s="66"/>
      <c r="S48" s="25"/>
      <c r="T48" s="25"/>
      <c r="U48" s="25"/>
      <c r="V48" s="26"/>
      <c r="W48" s="17"/>
      <c r="X48" s="17"/>
      <c r="Y48" s="17"/>
      <c r="Z48" s="17"/>
      <c r="AA48" s="17"/>
      <c r="AB48" s="17"/>
      <c r="AC48" s="17"/>
      <c r="AD48" s="17"/>
      <c r="AE48" s="17"/>
      <c r="AF48" s="17"/>
      <c r="AG48" s="17"/>
      <c r="AH48" s="18"/>
      <c r="AL48" s="14" t="s">
        <v>204</v>
      </c>
      <c r="AM48" s="14" t="s">
        <v>205</v>
      </c>
    </row>
    <row r="49" spans="2:39" ht="19.899999999999999" customHeight="1" x14ac:dyDescent="0.4">
      <c r="B49" s="27"/>
      <c r="C49" s="28"/>
      <c r="D49" s="28"/>
      <c r="E49" s="28"/>
      <c r="F49" s="29"/>
      <c r="G49" s="75"/>
      <c r="H49" s="76"/>
      <c r="I49" s="76"/>
      <c r="J49" s="76"/>
      <c r="K49" s="76"/>
      <c r="L49" s="76"/>
      <c r="M49" s="76"/>
      <c r="N49" s="76"/>
      <c r="O49" s="76"/>
      <c r="P49" s="76"/>
      <c r="Q49" s="77"/>
      <c r="R49" s="66"/>
      <c r="S49" s="25"/>
      <c r="T49" s="25"/>
      <c r="U49" s="25"/>
      <c r="V49" s="26"/>
      <c r="W49" s="17"/>
      <c r="X49" s="17"/>
      <c r="Y49" s="17"/>
      <c r="Z49" s="17"/>
      <c r="AA49" s="17"/>
      <c r="AB49" s="17"/>
      <c r="AC49" s="17"/>
      <c r="AD49" s="17"/>
      <c r="AE49" s="17"/>
      <c r="AF49" s="17"/>
      <c r="AG49" s="17"/>
      <c r="AH49" s="18"/>
      <c r="AL49" s="14" t="s">
        <v>206</v>
      </c>
      <c r="AM49" s="14">
        <v>13</v>
      </c>
    </row>
    <row r="50" spans="2:39" ht="19.899999999999999" customHeight="1" x14ac:dyDescent="0.4">
      <c r="B50" s="70" t="s">
        <v>219</v>
      </c>
      <c r="C50" s="22"/>
      <c r="D50" s="22"/>
      <c r="E50" s="22"/>
      <c r="F50" s="23"/>
      <c r="G50" s="72" t="s">
        <v>242</v>
      </c>
      <c r="H50" s="73"/>
      <c r="I50" s="73"/>
      <c r="J50" s="73"/>
      <c r="K50" s="73"/>
      <c r="L50" s="73"/>
      <c r="M50" s="73"/>
      <c r="N50" s="73"/>
      <c r="O50" s="73"/>
      <c r="P50" s="73"/>
      <c r="Q50" s="74"/>
      <c r="R50" s="66"/>
      <c r="S50" s="25"/>
      <c r="T50" s="25"/>
      <c r="U50" s="25"/>
      <c r="V50" s="26"/>
      <c r="W50" s="17"/>
      <c r="X50" s="17"/>
      <c r="Y50" s="17"/>
      <c r="Z50" s="17"/>
      <c r="AA50" s="17"/>
      <c r="AB50" s="17"/>
      <c r="AC50" s="17"/>
      <c r="AD50" s="17"/>
      <c r="AE50" s="17"/>
      <c r="AF50" s="17"/>
      <c r="AG50" s="17"/>
      <c r="AH50" s="18"/>
      <c r="AL50" s="14" t="s">
        <v>207</v>
      </c>
      <c r="AM50" s="14">
        <v>13</v>
      </c>
    </row>
    <row r="51" spans="2:39" ht="19.899999999999999" customHeight="1" x14ac:dyDescent="0.4">
      <c r="B51" s="27"/>
      <c r="C51" s="28"/>
      <c r="D51" s="28"/>
      <c r="E51" s="28"/>
      <c r="F51" s="29"/>
      <c r="G51" s="75"/>
      <c r="H51" s="76"/>
      <c r="I51" s="76"/>
      <c r="J51" s="76"/>
      <c r="K51" s="76"/>
      <c r="L51" s="76"/>
      <c r="M51" s="76"/>
      <c r="N51" s="76"/>
      <c r="O51" s="76"/>
      <c r="P51" s="76"/>
      <c r="Q51" s="77"/>
      <c r="R51" s="66"/>
      <c r="S51" s="25"/>
      <c r="T51" s="25"/>
      <c r="U51" s="25"/>
      <c r="V51" s="26"/>
      <c r="W51" s="17"/>
      <c r="X51" s="17"/>
      <c r="Y51" s="17"/>
      <c r="Z51" s="17"/>
      <c r="AA51" s="17"/>
      <c r="AB51" s="17"/>
      <c r="AC51" s="17"/>
      <c r="AD51" s="17"/>
      <c r="AE51" s="17"/>
      <c r="AF51" s="17"/>
      <c r="AG51" s="17"/>
      <c r="AH51" s="18"/>
      <c r="AL51" s="14" t="s">
        <v>208</v>
      </c>
      <c r="AM51" s="14">
        <v>9</v>
      </c>
    </row>
    <row r="52" spans="2:39" ht="19.899999999999999" customHeight="1" x14ac:dyDescent="0.4">
      <c r="B52" s="70" t="s">
        <v>217</v>
      </c>
      <c r="C52" s="22"/>
      <c r="D52" s="22"/>
      <c r="E52" s="22"/>
      <c r="F52" s="23"/>
      <c r="G52" s="72" t="s">
        <v>243</v>
      </c>
      <c r="H52" s="73"/>
      <c r="I52" s="73"/>
      <c r="J52" s="73"/>
      <c r="K52" s="73"/>
      <c r="L52" s="73"/>
      <c r="M52" s="73"/>
      <c r="N52" s="73"/>
      <c r="O52" s="73"/>
      <c r="P52" s="73"/>
      <c r="Q52" s="74"/>
      <c r="R52" s="66"/>
      <c r="S52" s="25"/>
      <c r="T52" s="25"/>
      <c r="U52" s="25"/>
      <c r="V52" s="26"/>
      <c r="W52" s="17"/>
      <c r="X52" s="17"/>
      <c r="Y52" s="17"/>
      <c r="Z52" s="17"/>
      <c r="AA52" s="17"/>
      <c r="AB52" s="17"/>
      <c r="AC52" s="17"/>
      <c r="AD52" s="17"/>
      <c r="AE52" s="17"/>
      <c r="AF52" s="17"/>
      <c r="AG52" s="17"/>
      <c r="AH52" s="18"/>
      <c r="AL52" s="14" t="s">
        <v>209</v>
      </c>
      <c r="AM52" s="14">
        <v>65</v>
      </c>
    </row>
    <row r="53" spans="2:39" ht="19.899999999999999" customHeight="1" x14ac:dyDescent="0.4">
      <c r="B53" s="27"/>
      <c r="C53" s="28"/>
      <c r="D53" s="28"/>
      <c r="E53" s="28"/>
      <c r="F53" s="29"/>
      <c r="G53" s="75"/>
      <c r="H53" s="76"/>
      <c r="I53" s="76"/>
      <c r="J53" s="76"/>
      <c r="K53" s="76"/>
      <c r="L53" s="76"/>
      <c r="M53" s="76"/>
      <c r="N53" s="76"/>
      <c r="O53" s="76"/>
      <c r="P53" s="76"/>
      <c r="Q53" s="77"/>
      <c r="R53" s="66"/>
      <c r="S53" s="25"/>
      <c r="T53" s="25"/>
      <c r="U53" s="25"/>
      <c r="V53" s="26"/>
      <c r="W53" s="17"/>
      <c r="X53" s="17"/>
      <c r="Y53" s="17"/>
      <c r="Z53" s="17"/>
      <c r="AA53" s="17"/>
      <c r="AB53" s="17"/>
      <c r="AC53" s="17"/>
      <c r="AD53" s="17"/>
      <c r="AE53" s="17"/>
      <c r="AF53" s="17"/>
      <c r="AG53" s="17"/>
      <c r="AH53" s="18"/>
      <c r="AL53" s="14"/>
      <c r="AM53" s="14"/>
    </row>
    <row r="54" spans="2:39" ht="19.899999999999999" customHeight="1" x14ac:dyDescent="0.4">
      <c r="B54" s="70" t="s">
        <v>218</v>
      </c>
      <c r="C54" s="22"/>
      <c r="D54" s="22"/>
      <c r="E54" s="22"/>
      <c r="F54" s="23"/>
      <c r="G54" s="72" t="s">
        <v>240</v>
      </c>
      <c r="H54" s="73"/>
      <c r="I54" s="73"/>
      <c r="J54" s="73"/>
      <c r="K54" s="73"/>
      <c r="L54" s="73"/>
      <c r="M54" s="73"/>
      <c r="N54" s="73"/>
      <c r="O54" s="73"/>
      <c r="P54" s="73"/>
      <c r="Q54" s="74"/>
      <c r="R54" s="66"/>
      <c r="S54" s="25"/>
      <c r="T54" s="25"/>
      <c r="U54" s="25"/>
      <c r="V54" s="26"/>
      <c r="W54" s="17"/>
      <c r="X54" s="17"/>
      <c r="Y54" s="17"/>
      <c r="Z54" s="17"/>
      <c r="AA54" s="17"/>
      <c r="AB54" s="17"/>
      <c r="AC54" s="17"/>
      <c r="AD54" s="17"/>
      <c r="AE54" s="17"/>
      <c r="AF54" s="17"/>
      <c r="AG54" s="17"/>
      <c r="AH54" s="18"/>
      <c r="AL54" s="14"/>
      <c r="AM54" s="14"/>
    </row>
    <row r="55" spans="2:39" ht="19.899999999999999" customHeight="1" thickBot="1" x14ac:dyDescent="0.45">
      <c r="B55" s="71"/>
      <c r="C55" s="68"/>
      <c r="D55" s="68"/>
      <c r="E55" s="68"/>
      <c r="F55" s="69"/>
      <c r="G55" s="78"/>
      <c r="H55" s="79"/>
      <c r="I55" s="79"/>
      <c r="J55" s="79"/>
      <c r="K55" s="79"/>
      <c r="L55" s="79"/>
      <c r="M55" s="79"/>
      <c r="N55" s="79"/>
      <c r="O55" s="79"/>
      <c r="P55" s="79"/>
      <c r="Q55" s="80"/>
      <c r="R55" s="67"/>
      <c r="S55" s="68"/>
      <c r="T55" s="68"/>
      <c r="U55" s="68"/>
      <c r="V55" s="69"/>
      <c r="W55" s="19"/>
      <c r="X55" s="19"/>
      <c r="Y55" s="19"/>
      <c r="Z55" s="19"/>
      <c r="AA55" s="19"/>
      <c r="AB55" s="19"/>
      <c r="AC55" s="19"/>
      <c r="AD55" s="19"/>
      <c r="AE55" s="19"/>
      <c r="AF55" s="19"/>
      <c r="AG55" s="19"/>
      <c r="AH55" s="20"/>
      <c r="AL55" s="6" t="s">
        <v>210</v>
      </c>
      <c r="AM55" s="6">
        <f>SUM(AM49:AM54)</f>
        <v>100</v>
      </c>
    </row>
    <row r="56" spans="2:39" s="5" customFormat="1" ht="19.899999999999999" customHeight="1" x14ac:dyDescent="0.4"/>
    <row r="57" spans="2:39" ht="19.899999999999999" customHeight="1" x14ac:dyDescent="0.4"/>
    <row r="58" spans="2:39" ht="19.899999999999999" customHeight="1" x14ac:dyDescent="0.4"/>
    <row r="59" spans="2:39" ht="19.899999999999999" customHeight="1" x14ac:dyDescent="0.4"/>
    <row r="60" spans="2:39" ht="19.899999999999999" customHeight="1" x14ac:dyDescent="0.4"/>
    <row r="61" spans="2:39" ht="19.899999999999999" customHeight="1" x14ac:dyDescent="0.4"/>
    <row r="62" spans="2:39" ht="19.899999999999999" customHeight="1" x14ac:dyDescent="0.4"/>
    <row r="63" spans="2:39" ht="19.899999999999999" customHeight="1" x14ac:dyDescent="0.4"/>
    <row r="64" spans="2:39" ht="19.899999999999999" customHeight="1" x14ac:dyDescent="0.4"/>
    <row r="65" ht="19.899999999999999" customHeight="1" x14ac:dyDescent="0.4"/>
    <row r="66" ht="19.899999999999999" customHeight="1" x14ac:dyDescent="0.4"/>
    <row r="67" ht="19.899999999999999" customHeight="1" x14ac:dyDescent="0.4"/>
    <row r="68" ht="19.899999999999999" customHeight="1" x14ac:dyDescent="0.4"/>
    <row r="69" ht="19.899999999999999" customHeight="1" x14ac:dyDescent="0.4"/>
    <row r="70" ht="19.899999999999999" customHeight="1" x14ac:dyDescent="0.4"/>
    <row r="71" ht="19.899999999999999" customHeight="1" x14ac:dyDescent="0.4"/>
    <row r="72" ht="19.899999999999999" customHeight="1" x14ac:dyDescent="0.4"/>
    <row r="73" ht="19.899999999999999" customHeight="1" x14ac:dyDescent="0.4"/>
    <row r="74" ht="19.899999999999999" customHeight="1" x14ac:dyDescent="0.4"/>
    <row r="75" ht="19.899999999999999" customHeight="1" x14ac:dyDescent="0.4"/>
    <row r="76" ht="19.899999999999999" customHeight="1" x14ac:dyDescent="0.4"/>
    <row r="77" ht="19.899999999999999" customHeight="1" x14ac:dyDescent="0.4"/>
    <row r="78" ht="19.899999999999999" customHeight="1" x14ac:dyDescent="0.4"/>
    <row r="79" ht="19.899999999999999" customHeight="1" x14ac:dyDescent="0.4"/>
    <row r="80" ht="19.899999999999999" customHeight="1" x14ac:dyDescent="0.4"/>
    <row r="81" ht="19.899999999999999" customHeight="1" x14ac:dyDescent="0.4"/>
    <row r="82" ht="19.899999999999999" customHeight="1" x14ac:dyDescent="0.4"/>
    <row r="83" ht="19.899999999999999" customHeight="1" x14ac:dyDescent="0.4"/>
    <row r="84" ht="19.899999999999999" customHeight="1" x14ac:dyDescent="0.4"/>
    <row r="85" ht="19.899999999999999" customHeight="1" x14ac:dyDescent="0.4"/>
    <row r="86" ht="19.899999999999999" customHeight="1" x14ac:dyDescent="0.4"/>
    <row r="87" ht="19.899999999999999" customHeight="1" x14ac:dyDescent="0.4"/>
    <row r="88" ht="19.899999999999999" customHeight="1" x14ac:dyDescent="0.4"/>
    <row r="89" ht="19.899999999999999" customHeight="1" x14ac:dyDescent="0.4"/>
    <row r="90" ht="19.899999999999999" customHeight="1" x14ac:dyDescent="0.4"/>
    <row r="91" ht="19.899999999999999" customHeight="1" x14ac:dyDescent="0.4"/>
    <row r="92" ht="19.899999999999999" customHeight="1" x14ac:dyDescent="0.4"/>
    <row r="93" ht="19.899999999999999" customHeight="1" x14ac:dyDescent="0.4"/>
    <row r="94" ht="19.899999999999999" customHeight="1" x14ac:dyDescent="0.4"/>
    <row r="95" ht="19.899999999999999" customHeight="1" x14ac:dyDescent="0.4"/>
    <row r="96" ht="19.899999999999999" customHeight="1" x14ac:dyDescent="0.4"/>
    <row r="97" ht="19.899999999999999" customHeight="1" x14ac:dyDescent="0.4"/>
    <row r="98" ht="19.899999999999999" customHeight="1" x14ac:dyDescent="0.4"/>
    <row r="99" ht="19.899999999999999" customHeight="1" x14ac:dyDescent="0.4"/>
    <row r="100" ht="19.899999999999999" customHeight="1" x14ac:dyDescent="0.4"/>
    <row r="101" ht="19.899999999999999" customHeight="1" x14ac:dyDescent="0.4"/>
    <row r="102" ht="19.899999999999999" customHeight="1" x14ac:dyDescent="0.4"/>
    <row r="103" ht="19.899999999999999" customHeight="1" x14ac:dyDescent="0.4"/>
    <row r="104" ht="19.899999999999999" customHeight="1" x14ac:dyDescent="0.4"/>
    <row r="105" ht="19.899999999999999" customHeight="1" x14ac:dyDescent="0.4"/>
    <row r="106" ht="19.899999999999999" customHeight="1" x14ac:dyDescent="0.4"/>
    <row r="107" ht="19.899999999999999" customHeight="1" x14ac:dyDescent="0.4"/>
    <row r="108" ht="19.899999999999999" customHeight="1" x14ac:dyDescent="0.4"/>
    <row r="109" ht="19.899999999999999" customHeight="1" x14ac:dyDescent="0.4"/>
    <row r="110" ht="19.899999999999999" customHeight="1" x14ac:dyDescent="0.4"/>
    <row r="111" ht="19.899999999999999" customHeight="1" x14ac:dyDescent="0.4"/>
    <row r="112" ht="19.899999999999999" customHeight="1" x14ac:dyDescent="0.4"/>
    <row r="113" ht="19.899999999999999" customHeight="1" x14ac:dyDescent="0.4"/>
    <row r="114" ht="19.899999999999999" customHeight="1" x14ac:dyDescent="0.4"/>
    <row r="115" ht="19.899999999999999" customHeight="1" x14ac:dyDescent="0.4"/>
    <row r="116" ht="19.899999999999999" customHeight="1" x14ac:dyDescent="0.4"/>
    <row r="117" ht="19.899999999999999" customHeight="1" x14ac:dyDescent="0.4"/>
    <row r="118" ht="19.899999999999999" customHeight="1" x14ac:dyDescent="0.4"/>
    <row r="119" ht="19.899999999999999" customHeight="1" x14ac:dyDescent="0.4"/>
    <row r="120" ht="19.899999999999999" customHeight="1" x14ac:dyDescent="0.4"/>
    <row r="121" ht="19.899999999999999" customHeight="1" x14ac:dyDescent="0.4"/>
    <row r="122" ht="19.899999999999999" customHeight="1" x14ac:dyDescent="0.4"/>
    <row r="123" ht="19.899999999999999" customHeight="1" x14ac:dyDescent="0.4"/>
    <row r="124" ht="19.899999999999999" customHeight="1" x14ac:dyDescent="0.4"/>
    <row r="125" ht="19.899999999999999" customHeight="1" x14ac:dyDescent="0.4"/>
    <row r="126" ht="19.899999999999999" customHeight="1" x14ac:dyDescent="0.4"/>
    <row r="127" ht="19.899999999999999" customHeight="1" x14ac:dyDescent="0.4"/>
    <row r="128" ht="19.899999999999999" customHeight="1" x14ac:dyDescent="0.4"/>
    <row r="129" ht="19.899999999999999" customHeight="1" x14ac:dyDescent="0.4"/>
    <row r="130" ht="19.899999999999999" customHeight="1" x14ac:dyDescent="0.4"/>
    <row r="131" ht="19.899999999999999" customHeight="1" x14ac:dyDescent="0.4"/>
    <row r="132" ht="19.899999999999999" customHeight="1" x14ac:dyDescent="0.4"/>
    <row r="133" ht="19.899999999999999" customHeight="1" x14ac:dyDescent="0.4"/>
    <row r="134" ht="19.899999999999999" customHeight="1" x14ac:dyDescent="0.4"/>
    <row r="135" ht="19.899999999999999" customHeight="1" x14ac:dyDescent="0.4"/>
    <row r="136" ht="19.899999999999999" customHeight="1" x14ac:dyDescent="0.4"/>
    <row r="137" ht="19.899999999999999" customHeight="1" x14ac:dyDescent="0.4"/>
    <row r="138" ht="19.899999999999999" customHeight="1" x14ac:dyDescent="0.4"/>
    <row r="139" ht="19.899999999999999" customHeight="1" x14ac:dyDescent="0.4"/>
    <row r="140" ht="19.899999999999999" customHeight="1" x14ac:dyDescent="0.4"/>
    <row r="141" ht="19.899999999999999" customHeight="1" x14ac:dyDescent="0.4"/>
    <row r="142" ht="19.899999999999999" customHeight="1" x14ac:dyDescent="0.4"/>
    <row r="143" ht="19.899999999999999" customHeight="1" x14ac:dyDescent="0.4"/>
    <row r="144" ht="19.899999999999999" customHeight="1" x14ac:dyDescent="0.4"/>
    <row r="145" ht="19.899999999999999" customHeight="1" x14ac:dyDescent="0.4"/>
    <row r="146" ht="19.899999999999999" customHeight="1" x14ac:dyDescent="0.4"/>
    <row r="147" ht="19.899999999999999" customHeight="1" x14ac:dyDescent="0.4"/>
    <row r="148" ht="19.899999999999999" customHeight="1" x14ac:dyDescent="0.4"/>
    <row r="149" ht="19.899999999999999" customHeight="1" x14ac:dyDescent="0.4"/>
    <row r="150" ht="19.899999999999999" customHeight="1" x14ac:dyDescent="0.4"/>
    <row r="151" ht="19.899999999999999" customHeight="1" x14ac:dyDescent="0.4"/>
    <row r="152" ht="19.899999999999999" customHeight="1" x14ac:dyDescent="0.4"/>
    <row r="153" ht="19.899999999999999" customHeight="1" x14ac:dyDescent="0.4"/>
    <row r="154" ht="19.899999999999999" customHeight="1" x14ac:dyDescent="0.4"/>
    <row r="155" ht="19.899999999999999" customHeight="1" x14ac:dyDescent="0.4"/>
    <row r="156" ht="19.899999999999999" customHeight="1" x14ac:dyDescent="0.4"/>
    <row r="157" ht="19.899999999999999" customHeight="1" x14ac:dyDescent="0.4"/>
    <row r="158" ht="19.899999999999999" customHeight="1" x14ac:dyDescent="0.4"/>
    <row r="159" ht="19.899999999999999" customHeight="1" x14ac:dyDescent="0.4"/>
    <row r="160" ht="19.899999999999999" customHeight="1" x14ac:dyDescent="0.4"/>
    <row r="161" ht="19.899999999999999" customHeight="1" x14ac:dyDescent="0.4"/>
    <row r="162" ht="19.899999999999999" customHeight="1" x14ac:dyDescent="0.4"/>
    <row r="163" ht="19.899999999999999" customHeight="1" x14ac:dyDescent="0.4"/>
    <row r="164" ht="19.899999999999999" customHeight="1" x14ac:dyDescent="0.4"/>
    <row r="165" ht="19.899999999999999" customHeight="1" x14ac:dyDescent="0.4"/>
    <row r="166" ht="19.899999999999999" customHeight="1" x14ac:dyDescent="0.4"/>
    <row r="167" ht="19.899999999999999" customHeight="1" x14ac:dyDescent="0.4"/>
    <row r="168" ht="19.899999999999999" customHeight="1" x14ac:dyDescent="0.4"/>
    <row r="169" ht="19.899999999999999" customHeight="1" x14ac:dyDescent="0.4"/>
    <row r="170" ht="19.899999999999999" customHeight="1" x14ac:dyDescent="0.4"/>
    <row r="171" ht="19.899999999999999" customHeight="1" x14ac:dyDescent="0.4"/>
    <row r="172" ht="19.899999999999999" customHeight="1" x14ac:dyDescent="0.4"/>
    <row r="173" ht="19.899999999999999" customHeight="1" x14ac:dyDescent="0.4"/>
    <row r="174" ht="19.899999999999999" customHeight="1" x14ac:dyDescent="0.4"/>
    <row r="175" ht="19.899999999999999" customHeight="1" x14ac:dyDescent="0.4"/>
    <row r="176" ht="19.899999999999999" customHeight="1" x14ac:dyDescent="0.4"/>
    <row r="177" ht="19.899999999999999" customHeight="1" x14ac:dyDescent="0.4"/>
    <row r="178" ht="19.899999999999999" customHeight="1" x14ac:dyDescent="0.4"/>
    <row r="179" ht="19.899999999999999" customHeight="1" x14ac:dyDescent="0.4"/>
    <row r="180" ht="19.899999999999999" customHeight="1" x14ac:dyDescent="0.4"/>
    <row r="181" ht="19.899999999999999" customHeight="1" x14ac:dyDescent="0.4"/>
    <row r="182" ht="19.899999999999999" customHeight="1" x14ac:dyDescent="0.4"/>
    <row r="183" ht="19.899999999999999" customHeight="1" x14ac:dyDescent="0.4"/>
    <row r="184" ht="19.899999999999999" customHeight="1" x14ac:dyDescent="0.4"/>
    <row r="185" ht="19.899999999999999" customHeight="1" x14ac:dyDescent="0.4"/>
    <row r="186" ht="19.899999999999999" customHeight="1" x14ac:dyDescent="0.4"/>
    <row r="187" ht="19.899999999999999" customHeight="1" x14ac:dyDescent="0.4"/>
    <row r="188" ht="19.899999999999999" customHeight="1" x14ac:dyDescent="0.4"/>
    <row r="189" ht="19.899999999999999" customHeight="1" x14ac:dyDescent="0.4"/>
    <row r="190" ht="19.899999999999999" customHeight="1" x14ac:dyDescent="0.4"/>
    <row r="191" ht="19.899999999999999" customHeight="1" x14ac:dyDescent="0.4"/>
    <row r="192" ht="19.899999999999999" customHeight="1" x14ac:dyDescent="0.4"/>
    <row r="193" ht="19.899999999999999" customHeight="1" x14ac:dyDescent="0.4"/>
    <row r="194" ht="19.899999999999999" customHeight="1" x14ac:dyDescent="0.4"/>
    <row r="195" ht="19.899999999999999" customHeight="1" x14ac:dyDescent="0.4"/>
    <row r="196" ht="19.899999999999999" customHeight="1" x14ac:dyDescent="0.4"/>
    <row r="197" ht="19.899999999999999" customHeight="1" x14ac:dyDescent="0.4"/>
    <row r="198" ht="19.899999999999999" customHeight="1" x14ac:dyDescent="0.4"/>
    <row r="199" ht="19.899999999999999" customHeight="1" x14ac:dyDescent="0.4"/>
    <row r="200" ht="19.899999999999999" customHeight="1" x14ac:dyDescent="0.4"/>
    <row r="201" ht="19.899999999999999" customHeight="1" x14ac:dyDescent="0.4"/>
    <row r="202" ht="19.899999999999999" customHeight="1" x14ac:dyDescent="0.4"/>
    <row r="203" ht="19.899999999999999" customHeight="1" x14ac:dyDescent="0.4"/>
    <row r="204" ht="19.899999999999999" customHeight="1" x14ac:dyDescent="0.4"/>
    <row r="205" ht="19.899999999999999" customHeight="1" x14ac:dyDescent="0.4"/>
    <row r="206" ht="19.899999999999999" customHeight="1" x14ac:dyDescent="0.4"/>
    <row r="207" ht="19.899999999999999" customHeight="1" x14ac:dyDescent="0.4"/>
    <row r="208" ht="19.899999999999999" customHeight="1" x14ac:dyDescent="0.4"/>
    <row r="209" ht="19.899999999999999" customHeight="1" x14ac:dyDescent="0.4"/>
    <row r="210" ht="19.899999999999999" customHeight="1" x14ac:dyDescent="0.4"/>
    <row r="211" ht="19.899999999999999" customHeight="1" x14ac:dyDescent="0.4"/>
    <row r="212" ht="19.899999999999999" customHeight="1" x14ac:dyDescent="0.4"/>
    <row r="213" ht="19.899999999999999" customHeight="1" x14ac:dyDescent="0.4"/>
    <row r="214" ht="19.899999999999999" customHeight="1" x14ac:dyDescent="0.4"/>
    <row r="215" ht="19.899999999999999" customHeight="1" x14ac:dyDescent="0.4"/>
    <row r="216" ht="19.899999999999999" customHeight="1" x14ac:dyDescent="0.4"/>
    <row r="217" ht="19.899999999999999" customHeight="1" x14ac:dyDescent="0.4"/>
    <row r="218" ht="19.899999999999999" customHeight="1" x14ac:dyDescent="0.4"/>
    <row r="219" ht="19.899999999999999" customHeight="1" x14ac:dyDescent="0.4"/>
    <row r="220" ht="19.899999999999999" customHeight="1" x14ac:dyDescent="0.4"/>
    <row r="221" ht="19.899999999999999" customHeight="1" x14ac:dyDescent="0.4"/>
    <row r="222" ht="19.899999999999999" customHeight="1" x14ac:dyDescent="0.4"/>
    <row r="223" ht="19.899999999999999" customHeight="1" x14ac:dyDescent="0.4"/>
    <row r="224" ht="19.899999999999999" customHeight="1" x14ac:dyDescent="0.4"/>
    <row r="225" ht="19.899999999999999" customHeight="1" x14ac:dyDescent="0.4"/>
    <row r="226" ht="19.899999999999999" customHeight="1" x14ac:dyDescent="0.4"/>
    <row r="227" ht="19.899999999999999" customHeight="1" x14ac:dyDescent="0.4"/>
    <row r="228" ht="19.899999999999999" customHeight="1" x14ac:dyDescent="0.4"/>
    <row r="229" ht="19.899999999999999" customHeight="1" x14ac:dyDescent="0.4"/>
    <row r="230" ht="19.899999999999999" customHeight="1" x14ac:dyDescent="0.4"/>
    <row r="231" ht="19.899999999999999" customHeight="1" x14ac:dyDescent="0.4"/>
    <row r="232" ht="19.899999999999999" customHeight="1" x14ac:dyDescent="0.4"/>
    <row r="233" ht="19.899999999999999" customHeight="1" x14ac:dyDescent="0.4"/>
    <row r="234" ht="19.899999999999999" customHeight="1" x14ac:dyDescent="0.4"/>
    <row r="235" ht="19.899999999999999" customHeight="1" x14ac:dyDescent="0.4"/>
    <row r="236" ht="19.899999999999999" customHeight="1" x14ac:dyDescent="0.4"/>
    <row r="237" ht="19.899999999999999" customHeight="1" x14ac:dyDescent="0.4"/>
    <row r="238" ht="19.899999999999999" customHeight="1" x14ac:dyDescent="0.4"/>
    <row r="239" ht="19.899999999999999" customHeight="1" x14ac:dyDescent="0.4"/>
    <row r="240" ht="19.899999999999999" customHeight="1" x14ac:dyDescent="0.4"/>
    <row r="241" ht="19.899999999999999" customHeight="1" x14ac:dyDescent="0.4"/>
    <row r="242" ht="19.899999999999999" customHeight="1" x14ac:dyDescent="0.4"/>
    <row r="243" ht="19.899999999999999" customHeight="1" x14ac:dyDescent="0.4"/>
    <row r="244" ht="19.899999999999999" customHeight="1" x14ac:dyDescent="0.4"/>
    <row r="245" ht="19.899999999999999" customHeight="1" x14ac:dyDescent="0.4"/>
    <row r="246" ht="19.899999999999999" customHeight="1" x14ac:dyDescent="0.4"/>
    <row r="247" ht="19.899999999999999" customHeight="1" x14ac:dyDescent="0.4"/>
    <row r="248" ht="19.899999999999999" customHeight="1" x14ac:dyDescent="0.4"/>
    <row r="249" ht="19.899999999999999" customHeight="1" x14ac:dyDescent="0.4"/>
    <row r="250" ht="19.899999999999999" customHeight="1" x14ac:dyDescent="0.4"/>
    <row r="251" ht="19.899999999999999" customHeight="1" x14ac:dyDescent="0.4"/>
    <row r="252" ht="19.899999999999999" customHeight="1" x14ac:dyDescent="0.4"/>
    <row r="253" ht="19.899999999999999" customHeight="1" x14ac:dyDescent="0.4"/>
    <row r="254" ht="19.899999999999999" customHeight="1" x14ac:dyDescent="0.4"/>
    <row r="255" ht="19.899999999999999" customHeight="1" x14ac:dyDescent="0.4"/>
    <row r="256" ht="19.899999999999999" customHeight="1" x14ac:dyDescent="0.4"/>
    <row r="257" ht="19.899999999999999" customHeight="1" x14ac:dyDescent="0.4"/>
    <row r="258" ht="19.899999999999999" customHeight="1" x14ac:dyDescent="0.4"/>
    <row r="259" ht="19.899999999999999" customHeight="1" x14ac:dyDescent="0.4"/>
    <row r="260" ht="19.899999999999999" customHeight="1" x14ac:dyDescent="0.4"/>
    <row r="261" ht="19.899999999999999" customHeight="1" x14ac:dyDescent="0.4"/>
    <row r="262" ht="19.899999999999999" customHeight="1" x14ac:dyDescent="0.4"/>
    <row r="263" ht="19.899999999999999" customHeight="1" x14ac:dyDescent="0.4"/>
    <row r="264" ht="19.899999999999999" customHeight="1" x14ac:dyDescent="0.4"/>
    <row r="265" ht="19.899999999999999" customHeight="1" x14ac:dyDescent="0.4"/>
    <row r="266" ht="19.899999999999999" customHeight="1" x14ac:dyDescent="0.4"/>
    <row r="267" ht="19.899999999999999" customHeight="1" x14ac:dyDescent="0.4"/>
    <row r="268" ht="19.899999999999999" customHeight="1" x14ac:dyDescent="0.4"/>
    <row r="269" ht="19.899999999999999" customHeight="1" x14ac:dyDescent="0.4"/>
    <row r="270" ht="19.899999999999999" customHeight="1" x14ac:dyDescent="0.4"/>
    <row r="271" ht="19.899999999999999" customHeight="1" x14ac:dyDescent="0.4"/>
    <row r="272" ht="19.899999999999999" customHeight="1" x14ac:dyDescent="0.4"/>
    <row r="273" ht="19.899999999999999" customHeight="1" x14ac:dyDescent="0.4"/>
    <row r="274" ht="19.899999999999999" customHeight="1" x14ac:dyDescent="0.4"/>
    <row r="275" ht="19.899999999999999" customHeight="1" x14ac:dyDescent="0.4"/>
    <row r="276" ht="19.899999999999999" customHeight="1" x14ac:dyDescent="0.4"/>
    <row r="277" ht="19.899999999999999" customHeight="1" x14ac:dyDescent="0.4"/>
    <row r="278" ht="19.899999999999999" customHeight="1" x14ac:dyDescent="0.4"/>
    <row r="279" ht="19.899999999999999" customHeight="1" x14ac:dyDescent="0.4"/>
    <row r="280" ht="19.899999999999999" customHeight="1" x14ac:dyDescent="0.4"/>
    <row r="281" ht="19.899999999999999" customHeight="1" x14ac:dyDescent="0.4"/>
    <row r="282" ht="19.899999999999999" customHeight="1" x14ac:dyDescent="0.4"/>
    <row r="283" ht="19.899999999999999" customHeight="1" x14ac:dyDescent="0.4"/>
    <row r="284" ht="19.899999999999999" customHeight="1" x14ac:dyDescent="0.4"/>
    <row r="285" ht="19.899999999999999" customHeight="1" x14ac:dyDescent="0.4"/>
    <row r="286" ht="19.899999999999999" customHeight="1" x14ac:dyDescent="0.4"/>
    <row r="287" ht="19.899999999999999" customHeight="1" x14ac:dyDescent="0.4"/>
    <row r="288" ht="19.899999999999999" customHeight="1" x14ac:dyDescent="0.4"/>
    <row r="289" ht="19.899999999999999" customHeight="1" x14ac:dyDescent="0.4"/>
    <row r="290" ht="19.899999999999999" customHeight="1" x14ac:dyDescent="0.4"/>
    <row r="291" ht="19.899999999999999" customHeight="1" x14ac:dyDescent="0.4"/>
    <row r="292" ht="19.899999999999999" customHeight="1" x14ac:dyDescent="0.4"/>
    <row r="293" ht="19.899999999999999" customHeight="1" x14ac:dyDescent="0.4"/>
    <row r="294" ht="19.899999999999999" customHeight="1" x14ac:dyDescent="0.4"/>
    <row r="295" ht="19.899999999999999" customHeight="1" x14ac:dyDescent="0.4"/>
    <row r="296" ht="19.899999999999999" customHeight="1" x14ac:dyDescent="0.4"/>
    <row r="297" ht="19.899999999999999" customHeight="1" x14ac:dyDescent="0.4"/>
    <row r="298" ht="19.899999999999999" customHeight="1" x14ac:dyDescent="0.4"/>
    <row r="299" ht="19.899999999999999" customHeight="1" x14ac:dyDescent="0.4"/>
    <row r="300" ht="19.899999999999999" customHeight="1" x14ac:dyDescent="0.4"/>
    <row r="301" ht="19.899999999999999" customHeight="1" x14ac:dyDescent="0.4"/>
    <row r="302" ht="19.899999999999999" customHeight="1" x14ac:dyDescent="0.4"/>
    <row r="303" ht="19.899999999999999" customHeight="1" x14ac:dyDescent="0.4"/>
    <row r="304" ht="19.899999999999999" customHeight="1" x14ac:dyDescent="0.4"/>
    <row r="305" ht="19.899999999999999" customHeight="1" x14ac:dyDescent="0.4"/>
    <row r="306" ht="19.899999999999999" customHeight="1" x14ac:dyDescent="0.4"/>
    <row r="307" ht="19.899999999999999" customHeight="1" x14ac:dyDescent="0.4"/>
    <row r="308" ht="19.899999999999999" customHeight="1" x14ac:dyDescent="0.4"/>
    <row r="309" ht="19.899999999999999" customHeight="1" x14ac:dyDescent="0.4"/>
    <row r="310" ht="19.899999999999999" customHeight="1" x14ac:dyDescent="0.4"/>
    <row r="311" ht="19.899999999999999" customHeight="1" x14ac:dyDescent="0.4"/>
    <row r="312" ht="19.899999999999999" customHeight="1" x14ac:dyDescent="0.4"/>
    <row r="313" ht="19.899999999999999" customHeight="1" x14ac:dyDescent="0.4"/>
    <row r="314" ht="19.899999999999999" customHeight="1" x14ac:dyDescent="0.4"/>
    <row r="315" ht="19.899999999999999" customHeight="1" x14ac:dyDescent="0.4"/>
    <row r="316" ht="19.899999999999999" customHeight="1" x14ac:dyDescent="0.4"/>
    <row r="317" ht="19.899999999999999" customHeight="1" x14ac:dyDescent="0.4"/>
    <row r="318" ht="19.899999999999999" customHeight="1" x14ac:dyDescent="0.4"/>
    <row r="319" ht="19.899999999999999" customHeight="1" x14ac:dyDescent="0.4"/>
    <row r="320" ht="19.899999999999999" customHeight="1" x14ac:dyDescent="0.4"/>
    <row r="321" ht="19.899999999999999" customHeight="1" x14ac:dyDescent="0.4"/>
    <row r="322" ht="19.899999999999999" customHeight="1" x14ac:dyDescent="0.4"/>
    <row r="323" ht="19.899999999999999" customHeight="1" x14ac:dyDescent="0.4"/>
    <row r="324" ht="19.899999999999999" customHeight="1" x14ac:dyDescent="0.4"/>
    <row r="325" ht="19.899999999999999" customHeight="1" x14ac:dyDescent="0.4"/>
    <row r="326" ht="19.899999999999999" customHeight="1" x14ac:dyDescent="0.4"/>
    <row r="327" ht="19.899999999999999" customHeight="1" x14ac:dyDescent="0.4"/>
    <row r="328" ht="19.899999999999999" customHeight="1" x14ac:dyDescent="0.4"/>
    <row r="329" ht="19.899999999999999" customHeight="1" x14ac:dyDescent="0.4"/>
    <row r="330" ht="19.899999999999999" customHeight="1" x14ac:dyDescent="0.4"/>
    <row r="331" ht="19.899999999999999" customHeight="1" x14ac:dyDescent="0.4"/>
    <row r="332" ht="19.899999999999999" customHeight="1" x14ac:dyDescent="0.4"/>
    <row r="333" ht="19.899999999999999" customHeight="1" x14ac:dyDescent="0.4"/>
    <row r="334" ht="19.899999999999999" customHeight="1" x14ac:dyDescent="0.4"/>
    <row r="335" ht="19.899999999999999" customHeight="1" x14ac:dyDescent="0.4"/>
    <row r="336" ht="19.899999999999999" customHeight="1" x14ac:dyDescent="0.4"/>
    <row r="337" ht="19.899999999999999" customHeight="1" x14ac:dyDescent="0.4"/>
    <row r="338" ht="19.899999999999999" customHeight="1" x14ac:dyDescent="0.4"/>
    <row r="339" ht="19.899999999999999" customHeight="1" x14ac:dyDescent="0.4"/>
    <row r="340" ht="19.899999999999999" customHeight="1" x14ac:dyDescent="0.4"/>
    <row r="341" ht="19.899999999999999" customHeight="1" x14ac:dyDescent="0.4"/>
    <row r="342" ht="19.899999999999999" customHeight="1" x14ac:dyDescent="0.4"/>
    <row r="343" ht="19.899999999999999" customHeight="1" x14ac:dyDescent="0.4"/>
    <row r="344" ht="19.899999999999999" customHeight="1" x14ac:dyDescent="0.4"/>
    <row r="345" ht="19.899999999999999" customHeight="1" x14ac:dyDescent="0.4"/>
    <row r="346" ht="19.899999999999999" customHeight="1" x14ac:dyDescent="0.4"/>
    <row r="347" ht="19.899999999999999" customHeight="1" x14ac:dyDescent="0.4"/>
    <row r="348" ht="19.899999999999999" customHeight="1" x14ac:dyDescent="0.4"/>
    <row r="349" ht="19.899999999999999" customHeight="1" x14ac:dyDescent="0.4"/>
    <row r="350" ht="19.899999999999999" customHeight="1" x14ac:dyDescent="0.4"/>
    <row r="351" ht="19.899999999999999" customHeight="1" x14ac:dyDescent="0.4"/>
    <row r="352" ht="19.899999999999999" customHeight="1" x14ac:dyDescent="0.4"/>
    <row r="353" ht="19.899999999999999" customHeight="1" x14ac:dyDescent="0.4"/>
    <row r="354" ht="19.899999999999999" customHeight="1" x14ac:dyDescent="0.4"/>
    <row r="355" ht="19.899999999999999" customHeight="1" x14ac:dyDescent="0.4"/>
    <row r="356" ht="19.899999999999999" customHeight="1" x14ac:dyDescent="0.4"/>
    <row r="357" ht="19.899999999999999" customHeight="1" x14ac:dyDescent="0.4"/>
    <row r="358" ht="19.899999999999999" customHeight="1" x14ac:dyDescent="0.4"/>
    <row r="359" ht="19.899999999999999" customHeight="1" x14ac:dyDescent="0.4"/>
    <row r="360" ht="19.899999999999999" customHeight="1" x14ac:dyDescent="0.4"/>
    <row r="361" ht="19.899999999999999" customHeight="1" x14ac:dyDescent="0.4"/>
    <row r="362" ht="19.899999999999999" customHeight="1" x14ac:dyDescent="0.4"/>
    <row r="363" ht="19.899999999999999" customHeight="1" x14ac:dyDescent="0.4"/>
    <row r="364" ht="19.899999999999999" customHeight="1" x14ac:dyDescent="0.4"/>
    <row r="365" ht="19.899999999999999" customHeight="1" x14ac:dyDescent="0.4"/>
    <row r="366" ht="19.899999999999999" customHeight="1" x14ac:dyDescent="0.4"/>
    <row r="367" ht="19.899999999999999" customHeight="1" x14ac:dyDescent="0.4"/>
    <row r="368" ht="19.899999999999999" customHeight="1" x14ac:dyDescent="0.4"/>
    <row r="369" ht="19.899999999999999" customHeight="1" x14ac:dyDescent="0.4"/>
    <row r="370" ht="19.899999999999999" customHeight="1" x14ac:dyDescent="0.4"/>
    <row r="371" ht="19.899999999999999" customHeight="1" x14ac:dyDescent="0.4"/>
    <row r="372" ht="19.899999999999999" customHeight="1" x14ac:dyDescent="0.4"/>
    <row r="373" ht="19.899999999999999" customHeight="1" x14ac:dyDescent="0.4"/>
    <row r="374" ht="19.899999999999999" customHeight="1" x14ac:dyDescent="0.4"/>
    <row r="375" ht="19.899999999999999" customHeight="1" x14ac:dyDescent="0.4"/>
    <row r="376" ht="19.899999999999999" customHeight="1" x14ac:dyDescent="0.4"/>
    <row r="377" ht="19.899999999999999" customHeight="1" x14ac:dyDescent="0.4"/>
    <row r="378" ht="19.899999999999999" customHeight="1" x14ac:dyDescent="0.4"/>
    <row r="379" ht="19.899999999999999" customHeight="1" x14ac:dyDescent="0.4"/>
    <row r="380" ht="19.899999999999999" customHeight="1" x14ac:dyDescent="0.4"/>
    <row r="381" ht="19.899999999999999" customHeight="1" x14ac:dyDescent="0.4"/>
    <row r="382" ht="19.899999999999999" customHeight="1" x14ac:dyDescent="0.4"/>
    <row r="383" ht="19.899999999999999" customHeight="1" x14ac:dyDescent="0.4"/>
    <row r="384" ht="19.899999999999999" customHeight="1" x14ac:dyDescent="0.4"/>
    <row r="385" ht="19.899999999999999" customHeight="1" x14ac:dyDescent="0.4"/>
    <row r="386" ht="19.899999999999999" customHeight="1" x14ac:dyDescent="0.4"/>
    <row r="387" ht="19.899999999999999" customHeight="1" x14ac:dyDescent="0.4"/>
    <row r="388" ht="19.899999999999999" customHeight="1" x14ac:dyDescent="0.4"/>
    <row r="389" ht="19.899999999999999" customHeight="1" x14ac:dyDescent="0.4"/>
    <row r="390" ht="19.899999999999999" customHeight="1" x14ac:dyDescent="0.4"/>
    <row r="391" ht="19.899999999999999" customHeight="1" x14ac:dyDescent="0.4"/>
    <row r="392" ht="19.899999999999999" customHeight="1" x14ac:dyDescent="0.4"/>
    <row r="393" ht="19.899999999999999" customHeight="1" x14ac:dyDescent="0.4"/>
    <row r="394" ht="19.899999999999999" customHeight="1" x14ac:dyDescent="0.4"/>
    <row r="395" ht="19.899999999999999" customHeight="1" x14ac:dyDescent="0.4"/>
    <row r="396" ht="19.899999999999999" customHeight="1" x14ac:dyDescent="0.4"/>
    <row r="397" ht="19.899999999999999" customHeight="1" x14ac:dyDescent="0.4"/>
    <row r="398" ht="19.899999999999999" customHeight="1" x14ac:dyDescent="0.4"/>
    <row r="399" ht="19.899999999999999" customHeight="1" x14ac:dyDescent="0.4"/>
    <row r="400" ht="19.899999999999999" customHeight="1" x14ac:dyDescent="0.4"/>
    <row r="401" ht="19.899999999999999" customHeight="1" x14ac:dyDescent="0.4"/>
    <row r="402" ht="19.899999999999999" customHeight="1" x14ac:dyDescent="0.4"/>
    <row r="403" ht="19.899999999999999" customHeight="1" x14ac:dyDescent="0.4"/>
    <row r="404" ht="19.899999999999999" customHeight="1" x14ac:dyDescent="0.4"/>
    <row r="405" ht="19.899999999999999" customHeight="1" x14ac:dyDescent="0.4"/>
    <row r="406" ht="19.899999999999999" customHeight="1" x14ac:dyDescent="0.4"/>
    <row r="407" ht="19.899999999999999" customHeight="1" x14ac:dyDescent="0.4"/>
    <row r="408" ht="19.899999999999999" customHeight="1" x14ac:dyDescent="0.4"/>
    <row r="409" ht="19.899999999999999" customHeight="1" x14ac:dyDescent="0.4"/>
    <row r="410" ht="19.899999999999999" customHeight="1" x14ac:dyDescent="0.4"/>
    <row r="411" ht="19.899999999999999" customHeight="1" x14ac:dyDescent="0.4"/>
    <row r="412" ht="19.899999999999999" customHeight="1" x14ac:dyDescent="0.4"/>
    <row r="413" ht="19.899999999999999" customHeight="1" x14ac:dyDescent="0.4"/>
    <row r="414" ht="19.899999999999999" customHeight="1" x14ac:dyDescent="0.4"/>
    <row r="415" ht="19.899999999999999" customHeight="1" x14ac:dyDescent="0.4"/>
    <row r="416" ht="19.899999999999999" customHeight="1" x14ac:dyDescent="0.4"/>
    <row r="417" ht="19.899999999999999" customHeight="1" x14ac:dyDescent="0.4"/>
    <row r="418" ht="19.899999999999999" customHeight="1" x14ac:dyDescent="0.4"/>
    <row r="419" ht="19.899999999999999" customHeight="1" x14ac:dyDescent="0.4"/>
    <row r="420" ht="19.899999999999999" customHeight="1" x14ac:dyDescent="0.4"/>
    <row r="421" ht="19.899999999999999" customHeight="1" x14ac:dyDescent="0.4"/>
    <row r="422" ht="19.899999999999999" customHeight="1" x14ac:dyDescent="0.4"/>
    <row r="423" ht="19.899999999999999" customHeight="1" x14ac:dyDescent="0.4"/>
    <row r="424" ht="19.899999999999999" customHeight="1" x14ac:dyDescent="0.4"/>
    <row r="425" ht="19.899999999999999" customHeight="1" x14ac:dyDescent="0.4"/>
    <row r="426" ht="19.899999999999999" customHeight="1" x14ac:dyDescent="0.4"/>
    <row r="427" ht="19.899999999999999" customHeight="1" x14ac:dyDescent="0.4"/>
    <row r="428" ht="19.899999999999999" customHeight="1" x14ac:dyDescent="0.4"/>
    <row r="429" ht="19.899999999999999" customHeight="1" x14ac:dyDescent="0.4"/>
    <row r="430" ht="19.899999999999999" customHeight="1" x14ac:dyDescent="0.4"/>
    <row r="431" ht="19.899999999999999" customHeight="1" x14ac:dyDescent="0.4"/>
    <row r="432" ht="19.899999999999999" customHeight="1" x14ac:dyDescent="0.4"/>
    <row r="433" ht="19.899999999999999" customHeight="1" x14ac:dyDescent="0.4"/>
    <row r="434" ht="19.899999999999999" customHeight="1" x14ac:dyDescent="0.4"/>
    <row r="435" ht="19.899999999999999" customHeight="1" x14ac:dyDescent="0.4"/>
    <row r="436" ht="19.899999999999999" customHeight="1" x14ac:dyDescent="0.4"/>
    <row r="437" ht="19.899999999999999" customHeight="1" x14ac:dyDescent="0.4"/>
    <row r="438" ht="19.899999999999999" customHeight="1" x14ac:dyDescent="0.4"/>
  </sheetData>
  <mergeCells count="118">
    <mergeCell ref="B35:F37"/>
    <mergeCell ref="J9:M9"/>
    <mergeCell ref="G9:I9"/>
    <mergeCell ref="N9:P9"/>
    <mergeCell ref="Q9:T9"/>
    <mergeCell ref="U9:W9"/>
    <mergeCell ref="X9:AA9"/>
    <mergeCell ref="AB9:AD9"/>
    <mergeCell ref="AE9:AH9"/>
    <mergeCell ref="AG31:AG34"/>
    <mergeCell ref="AB31:AB34"/>
    <mergeCell ref="AC31:AC34"/>
    <mergeCell ref="AD31:AD34"/>
    <mergeCell ref="AH27:AH30"/>
    <mergeCell ref="AH31:AH34"/>
    <mergeCell ref="B23:F26"/>
    <mergeCell ref="G23:Y26"/>
    <mergeCell ref="G28:Y34"/>
    <mergeCell ref="B9:F9"/>
    <mergeCell ref="AE31:AE34"/>
    <mergeCell ref="AF31:AF34"/>
    <mergeCell ref="B27:F29"/>
    <mergeCell ref="B30:F30"/>
    <mergeCell ref="B31:F33"/>
    <mergeCell ref="W4:Y4"/>
    <mergeCell ref="W5:Y5"/>
    <mergeCell ref="B2:AH2"/>
    <mergeCell ref="B18:F19"/>
    <mergeCell ref="B20:F21"/>
    <mergeCell ref="B7:F7"/>
    <mergeCell ref="B14:F15"/>
    <mergeCell ref="B12:F13"/>
    <mergeCell ref="B16:F17"/>
    <mergeCell ref="G14:M14"/>
    <mergeCell ref="G15:M15"/>
    <mergeCell ref="B11:F11"/>
    <mergeCell ref="Z4:AH4"/>
    <mergeCell ref="Z5:AH5"/>
    <mergeCell ref="G7:AH7"/>
    <mergeCell ref="AE3:AH3"/>
    <mergeCell ref="N12:T12"/>
    <mergeCell ref="N13:T13"/>
    <mergeCell ref="U12:AA12"/>
    <mergeCell ref="U13:AA13"/>
    <mergeCell ref="AB12:AH12"/>
    <mergeCell ref="AB13:AH13"/>
    <mergeCell ref="G11:AH11"/>
    <mergeCell ref="B4:F5"/>
    <mergeCell ref="AA31:AA34"/>
    <mergeCell ref="G27:Y27"/>
    <mergeCell ref="AF27:AF30"/>
    <mergeCell ref="AE27:AE30"/>
    <mergeCell ref="AG27:AG30"/>
    <mergeCell ref="AD27:AD30"/>
    <mergeCell ref="AB27:AB30"/>
    <mergeCell ref="AC27:AC30"/>
    <mergeCell ref="B8:F8"/>
    <mergeCell ref="G8:AH8"/>
    <mergeCell ref="G20:M20"/>
    <mergeCell ref="G19:M19"/>
    <mergeCell ref="N18:T18"/>
    <mergeCell ref="N19:T19"/>
    <mergeCell ref="U18:AA18"/>
    <mergeCell ref="U19:AA19"/>
    <mergeCell ref="AB18:AH18"/>
    <mergeCell ref="AB19:AH19"/>
    <mergeCell ref="N14:T14"/>
    <mergeCell ref="N15:T15"/>
    <mergeCell ref="U14:AA14"/>
    <mergeCell ref="U15:AA15"/>
    <mergeCell ref="G4:N5"/>
    <mergeCell ref="B41:F43"/>
    <mergeCell ref="G41:AH43"/>
    <mergeCell ref="R44:V55"/>
    <mergeCell ref="B50:F51"/>
    <mergeCell ref="B52:F53"/>
    <mergeCell ref="B54:F55"/>
    <mergeCell ref="G50:Q51"/>
    <mergeCell ref="G52:Q53"/>
    <mergeCell ref="G54:Q55"/>
    <mergeCell ref="O4:R4"/>
    <mergeCell ref="O5:R5"/>
    <mergeCell ref="S4:V4"/>
    <mergeCell ref="S5:V5"/>
    <mergeCell ref="B44:F45"/>
    <mergeCell ref="B46:F47"/>
    <mergeCell ref="B48:F49"/>
    <mergeCell ref="G44:Q45"/>
    <mergeCell ref="G46:Q47"/>
    <mergeCell ref="G48:Q49"/>
    <mergeCell ref="G12:M12"/>
    <mergeCell ref="G13:M13"/>
    <mergeCell ref="B34:F34"/>
    <mergeCell ref="G35:AH37"/>
    <mergeCell ref="B38:F40"/>
    <mergeCell ref="G38:AH40"/>
    <mergeCell ref="AB14:AH14"/>
    <mergeCell ref="AB15:AH15"/>
    <mergeCell ref="G16:M16"/>
    <mergeCell ref="G17:M17"/>
    <mergeCell ref="N16:T16"/>
    <mergeCell ref="N17:T17"/>
    <mergeCell ref="U16:AA16"/>
    <mergeCell ref="U17:AA17"/>
    <mergeCell ref="AB16:AH16"/>
    <mergeCell ref="AB17:AH17"/>
    <mergeCell ref="G21:M21"/>
    <mergeCell ref="N20:T20"/>
    <mergeCell ref="N21:T21"/>
    <mergeCell ref="U20:AA20"/>
    <mergeCell ref="U21:AA21"/>
    <mergeCell ref="AB20:AH20"/>
    <mergeCell ref="AB21:AH21"/>
    <mergeCell ref="Z23:AH26"/>
    <mergeCell ref="Z27:Z30"/>
    <mergeCell ref="AA27:AA30"/>
    <mergeCell ref="Z31:Z34"/>
    <mergeCell ref="G18:M18"/>
  </mergeCells>
  <phoneticPr fontId="1"/>
  <dataValidations count="8">
    <dataValidation type="list" allowBlank="1" showInputMessage="1" showErrorMessage="1" sqref="N14:N15 U14:U15 G14:G15 AB14:AB15" xr:uid="{2C20E557-2D0D-49E4-B989-FBD7081A3BA9}">
      <formula1>FW</formula1>
    </dataValidation>
    <dataValidation type="list" allowBlank="1" showInputMessage="1" showErrorMessage="1" sqref="G16:AH17" xr:uid="{C48BB941-8849-4D34-9367-E6116A1F6257}">
      <formula1>DB</formula1>
    </dataValidation>
    <dataValidation type="list" allowBlank="1" showInputMessage="1" showErrorMessage="1" sqref="G18:AH19" xr:uid="{A9A975D3-DA71-4167-B508-3FF78B9CD34F}">
      <formula1>ソフトウェアツール</formula1>
    </dataValidation>
    <dataValidation type="list" allowBlank="1" showInputMessage="1" showErrorMessage="1" sqref="N22:Q22 U22:X22 AC22:AG22 G22:J22 G20:AH21" xr:uid="{058E43D2-F589-48D8-B75A-AA53233CEA78}">
      <formula1>OS</formula1>
    </dataValidation>
    <dataValidation type="list" allowBlank="1" showInputMessage="1" showErrorMessage="1" sqref="N12:N13 U12:U13 G12:G13 AB12:AB13" xr:uid="{2A84D26C-9969-4618-AA18-D86449E347EC}">
      <formula1>言語</formula1>
    </dataValidation>
    <dataValidation type="list" allowBlank="1" showInputMessage="1" showErrorMessage="1" sqref="Z31:AH34" xr:uid="{EB2936CA-A523-49A5-A274-55A330520E22}">
      <formula1>"〇,"</formula1>
    </dataValidation>
    <dataValidation type="list" allowBlank="1" showInputMessage="1" showErrorMessage="1" sqref="O5:O6 P6:S6" xr:uid="{E4D40D02-5144-4C3B-A8C5-B9E9EBBAF03A}">
      <formula1>"男性,女性"</formula1>
    </dataValidation>
    <dataValidation type="list" allowBlank="1" showInputMessage="1" showErrorMessage="1" sqref="G44:Q55" xr:uid="{C13F5B46-44EB-401D-9D31-D5D26273DA86}">
      <formula1>"大変良い,良い,普通,少し懸念あり,要注意"</formula1>
    </dataValidation>
  </dataValidations>
  <printOptions horizontalCentered="1"/>
  <pageMargins left="0.39370078740157483" right="0.39370078740157483" top="0" bottom="0" header="0" footer="0"/>
  <pageSetup paperSize="9" scale="67"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7F295-0EA0-461E-A0B3-C103ED3A2FC1}">
  <sheetPr>
    <pageSetUpPr fitToPage="1"/>
  </sheetPr>
  <dimension ref="A1:H33"/>
  <sheetViews>
    <sheetView zoomScaleNormal="100" workbookViewId="0">
      <pane ySplit="1" topLeftCell="A2" activePane="bottomLeft" state="frozen"/>
      <selection pane="bottomLeft"/>
    </sheetView>
  </sheetViews>
  <sheetFormatPr defaultRowHeight="18.75" x14ac:dyDescent="0.4"/>
  <cols>
    <col min="1" max="1" width="59" bestFit="1" customWidth="1"/>
    <col min="2" max="2" width="16.375" bestFit="1" customWidth="1"/>
    <col min="3" max="3" width="13.625" bestFit="1" customWidth="1"/>
    <col min="4" max="4" width="14.75" bestFit="1" customWidth="1"/>
    <col min="5" max="5" width="20.625" bestFit="1" customWidth="1"/>
    <col min="6" max="6" width="22.625" bestFit="1" customWidth="1"/>
    <col min="7" max="7" width="16.875" bestFit="1" customWidth="1"/>
    <col min="8" max="8" width="12.125" customWidth="1"/>
  </cols>
  <sheetData>
    <row r="1" spans="1:8" s="3" customFormat="1" x14ac:dyDescent="0.4">
      <c r="A1" s="2" t="s">
        <v>2</v>
      </c>
      <c r="B1" s="2" t="s">
        <v>3</v>
      </c>
      <c r="C1" s="2" t="s">
        <v>41</v>
      </c>
      <c r="D1" s="2" t="s">
        <v>5</v>
      </c>
      <c r="E1" s="2" t="s">
        <v>95</v>
      </c>
      <c r="F1" s="4" t="s">
        <v>143</v>
      </c>
      <c r="G1" s="2" t="s">
        <v>87</v>
      </c>
      <c r="H1" s="2" t="s">
        <v>72</v>
      </c>
    </row>
    <row r="2" spans="1:8" x14ac:dyDescent="0.4">
      <c r="A2" t="s">
        <v>186</v>
      </c>
      <c r="B2" t="s">
        <v>14</v>
      </c>
      <c r="C2" t="s">
        <v>110</v>
      </c>
      <c r="D2" t="s">
        <v>124</v>
      </c>
      <c r="E2" t="s">
        <v>12</v>
      </c>
      <c r="F2" t="s">
        <v>13</v>
      </c>
      <c r="G2" t="s">
        <v>88</v>
      </c>
      <c r="H2" t="s">
        <v>82</v>
      </c>
    </row>
    <row r="3" spans="1:8" x14ac:dyDescent="0.4">
      <c r="A3" t="s">
        <v>185</v>
      </c>
      <c r="B3" t="s">
        <v>137</v>
      </c>
      <c r="C3" t="s">
        <v>112</v>
      </c>
      <c r="D3" t="s">
        <v>48</v>
      </c>
      <c r="E3" t="s">
        <v>155</v>
      </c>
      <c r="F3" t="s">
        <v>96</v>
      </c>
      <c r="G3" t="s">
        <v>89</v>
      </c>
      <c r="H3" t="s">
        <v>83</v>
      </c>
    </row>
    <row r="4" spans="1:8" x14ac:dyDescent="0.4">
      <c r="A4" t="s">
        <v>184</v>
      </c>
      <c r="B4" t="s">
        <v>138</v>
      </c>
      <c r="C4" t="s">
        <v>62</v>
      </c>
      <c r="D4" t="s">
        <v>129</v>
      </c>
      <c r="E4" t="s">
        <v>16</v>
      </c>
      <c r="F4" t="s">
        <v>74</v>
      </c>
      <c r="G4" t="s">
        <v>90</v>
      </c>
      <c r="H4" t="s">
        <v>84</v>
      </c>
    </row>
    <row r="5" spans="1:8" x14ac:dyDescent="0.4">
      <c r="A5" t="s">
        <v>178</v>
      </c>
      <c r="B5" t="s">
        <v>43</v>
      </c>
      <c r="C5" t="s">
        <v>60</v>
      </c>
      <c r="D5" t="s">
        <v>49</v>
      </c>
      <c r="E5" t="s">
        <v>18</v>
      </c>
      <c r="F5" t="s">
        <v>78</v>
      </c>
      <c r="G5" t="s">
        <v>91</v>
      </c>
      <c r="H5" t="s">
        <v>85</v>
      </c>
    </row>
    <row r="6" spans="1:8" x14ac:dyDescent="0.4">
      <c r="A6" t="s">
        <v>177</v>
      </c>
      <c r="B6" t="s">
        <v>139</v>
      </c>
      <c r="C6" t="s">
        <v>17</v>
      </c>
      <c r="D6" t="s">
        <v>126</v>
      </c>
      <c r="E6" t="s">
        <v>8</v>
      </c>
      <c r="F6" t="s">
        <v>130</v>
      </c>
      <c r="G6" t="s">
        <v>92</v>
      </c>
      <c r="H6" t="s">
        <v>86</v>
      </c>
    </row>
    <row r="7" spans="1:8" x14ac:dyDescent="0.4">
      <c r="A7" t="s">
        <v>187</v>
      </c>
      <c r="B7" t="s">
        <v>107</v>
      </c>
      <c r="C7" t="s">
        <v>116</v>
      </c>
      <c r="D7" t="s">
        <v>128</v>
      </c>
      <c r="E7" t="s">
        <v>154</v>
      </c>
      <c r="F7" t="s">
        <v>19</v>
      </c>
    </row>
    <row r="8" spans="1:8" x14ac:dyDescent="0.4">
      <c r="A8" t="s">
        <v>174</v>
      </c>
      <c r="B8" t="s">
        <v>146</v>
      </c>
      <c r="C8" t="s">
        <v>58</v>
      </c>
      <c r="D8" t="s">
        <v>127</v>
      </c>
      <c r="E8" t="s">
        <v>157</v>
      </c>
      <c r="F8" t="s">
        <v>159</v>
      </c>
    </row>
    <row r="9" spans="1:8" x14ac:dyDescent="0.4">
      <c r="A9" t="s">
        <v>196</v>
      </c>
      <c r="B9" t="s">
        <v>147</v>
      </c>
      <c r="C9" t="s">
        <v>111</v>
      </c>
      <c r="D9" t="s">
        <v>122</v>
      </c>
      <c r="E9" t="s">
        <v>134</v>
      </c>
      <c r="F9" t="s">
        <v>158</v>
      </c>
    </row>
    <row r="10" spans="1:8" x14ac:dyDescent="0.4">
      <c r="A10" t="s">
        <v>195</v>
      </c>
      <c r="B10" t="s">
        <v>4</v>
      </c>
      <c r="C10" t="s">
        <v>59</v>
      </c>
      <c r="D10" t="s">
        <v>15</v>
      </c>
      <c r="E10" t="s">
        <v>151</v>
      </c>
      <c r="F10" t="s">
        <v>7</v>
      </c>
    </row>
    <row r="11" spans="1:8" x14ac:dyDescent="0.4">
      <c r="A11" t="s">
        <v>38</v>
      </c>
      <c r="B11" t="s">
        <v>42</v>
      </c>
      <c r="C11" t="s">
        <v>63</v>
      </c>
      <c r="D11" t="s">
        <v>46</v>
      </c>
      <c r="E11" t="s">
        <v>153</v>
      </c>
      <c r="F11" t="s">
        <v>97</v>
      </c>
    </row>
    <row r="12" spans="1:8" x14ac:dyDescent="0.4">
      <c r="A12" t="s">
        <v>180</v>
      </c>
      <c r="B12" t="s">
        <v>24</v>
      </c>
      <c r="C12" t="s">
        <v>115</v>
      </c>
      <c r="D12" t="s">
        <v>6</v>
      </c>
      <c r="E12" t="s">
        <v>152</v>
      </c>
      <c r="F12" t="s">
        <v>131</v>
      </c>
    </row>
    <row r="13" spans="1:8" x14ac:dyDescent="0.4">
      <c r="A13" t="s">
        <v>179</v>
      </c>
      <c r="B13" t="s">
        <v>105</v>
      </c>
      <c r="C13" t="s">
        <v>51</v>
      </c>
      <c r="D13" t="s">
        <v>20</v>
      </c>
      <c r="E13" t="s">
        <v>156</v>
      </c>
      <c r="F13" t="s">
        <v>81</v>
      </c>
    </row>
    <row r="14" spans="1:8" x14ac:dyDescent="0.4">
      <c r="A14" t="s">
        <v>183</v>
      </c>
      <c r="B14" t="s">
        <v>28</v>
      </c>
      <c r="C14" t="s">
        <v>57</v>
      </c>
      <c r="D14" t="s">
        <v>22</v>
      </c>
      <c r="E14" t="s">
        <v>25</v>
      </c>
      <c r="F14" t="s">
        <v>98</v>
      </c>
    </row>
    <row r="15" spans="1:8" x14ac:dyDescent="0.4">
      <c r="A15" t="s">
        <v>182</v>
      </c>
      <c r="B15" t="s">
        <v>29</v>
      </c>
      <c r="C15" t="s">
        <v>61</v>
      </c>
      <c r="D15" t="s">
        <v>121</v>
      </c>
      <c r="E15" t="s">
        <v>133</v>
      </c>
      <c r="F15" t="s">
        <v>144</v>
      </c>
    </row>
    <row r="16" spans="1:8" x14ac:dyDescent="0.4">
      <c r="A16" t="s">
        <v>181</v>
      </c>
      <c r="B16" t="s">
        <v>109</v>
      </c>
      <c r="C16" t="s">
        <v>120</v>
      </c>
      <c r="D16" t="s">
        <v>125</v>
      </c>
      <c r="E16" t="s">
        <v>26</v>
      </c>
      <c r="F16" t="s">
        <v>34</v>
      </c>
    </row>
    <row r="17" spans="1:6" x14ac:dyDescent="0.4">
      <c r="A17" t="s">
        <v>188</v>
      </c>
      <c r="B17" t="s">
        <v>30</v>
      </c>
      <c r="C17" t="s">
        <v>56</v>
      </c>
      <c r="D17" t="s">
        <v>123</v>
      </c>
      <c r="E17" t="s">
        <v>163</v>
      </c>
      <c r="F17" t="s">
        <v>160</v>
      </c>
    </row>
    <row r="18" spans="1:6" x14ac:dyDescent="0.4">
      <c r="A18" t="s">
        <v>175</v>
      </c>
      <c r="B18" t="s">
        <v>32</v>
      </c>
      <c r="C18" t="s">
        <v>55</v>
      </c>
      <c r="D18" t="s">
        <v>150</v>
      </c>
      <c r="E18" t="s">
        <v>75</v>
      </c>
      <c r="F18" t="s">
        <v>136</v>
      </c>
    </row>
    <row r="19" spans="1:6" x14ac:dyDescent="0.4">
      <c r="A19" t="s">
        <v>189</v>
      </c>
      <c r="B19" t="s">
        <v>104</v>
      </c>
      <c r="C19" t="s">
        <v>52</v>
      </c>
      <c r="D19" t="s">
        <v>47</v>
      </c>
      <c r="E19" t="s">
        <v>135</v>
      </c>
      <c r="F19" t="s">
        <v>145</v>
      </c>
    </row>
    <row r="20" spans="1:6" x14ac:dyDescent="0.4">
      <c r="A20" t="s">
        <v>190</v>
      </c>
      <c r="B20" t="s">
        <v>44</v>
      </c>
      <c r="C20" t="s">
        <v>118</v>
      </c>
      <c r="E20" t="s">
        <v>31</v>
      </c>
      <c r="F20" t="s">
        <v>162</v>
      </c>
    </row>
    <row r="21" spans="1:6" x14ac:dyDescent="0.4">
      <c r="A21" t="s">
        <v>193</v>
      </c>
      <c r="B21" t="s">
        <v>33</v>
      </c>
      <c r="C21" t="s">
        <v>21</v>
      </c>
      <c r="E21" t="s">
        <v>132</v>
      </c>
      <c r="F21" t="s">
        <v>99</v>
      </c>
    </row>
    <row r="22" spans="1:6" x14ac:dyDescent="0.4">
      <c r="A22" t="s">
        <v>194</v>
      </c>
      <c r="B22" t="s">
        <v>140</v>
      </c>
      <c r="C22" t="s">
        <v>54</v>
      </c>
      <c r="E22" t="s">
        <v>80</v>
      </c>
      <c r="F22" t="s">
        <v>161</v>
      </c>
    </row>
    <row r="23" spans="1:6" x14ac:dyDescent="0.4">
      <c r="A23" t="s">
        <v>191</v>
      </c>
      <c r="B23" t="s">
        <v>106</v>
      </c>
      <c r="C23" t="s">
        <v>23</v>
      </c>
      <c r="E23" t="s">
        <v>164</v>
      </c>
      <c r="F23" t="s">
        <v>39</v>
      </c>
    </row>
    <row r="24" spans="1:6" x14ac:dyDescent="0.4">
      <c r="A24" t="s">
        <v>192</v>
      </c>
      <c r="B24" t="s">
        <v>141</v>
      </c>
      <c r="C24" t="s">
        <v>27</v>
      </c>
      <c r="E24" t="s">
        <v>165</v>
      </c>
      <c r="F24" t="s">
        <v>142</v>
      </c>
    </row>
    <row r="25" spans="1:6" x14ac:dyDescent="0.4">
      <c r="A25" t="s">
        <v>168</v>
      </c>
      <c r="B25" t="s">
        <v>36</v>
      </c>
      <c r="C25" t="s">
        <v>149</v>
      </c>
      <c r="E25" t="s">
        <v>76</v>
      </c>
    </row>
    <row r="26" spans="1:6" x14ac:dyDescent="0.4">
      <c r="A26" t="s">
        <v>171</v>
      </c>
      <c r="B26" t="s">
        <v>45</v>
      </c>
      <c r="C26" t="s">
        <v>50</v>
      </c>
      <c r="E26" t="s">
        <v>77</v>
      </c>
    </row>
    <row r="27" spans="1:6" x14ac:dyDescent="0.4">
      <c r="A27" t="s">
        <v>170</v>
      </c>
      <c r="B27" t="s">
        <v>148</v>
      </c>
      <c r="C27" t="s">
        <v>114</v>
      </c>
      <c r="E27" t="s">
        <v>167</v>
      </c>
    </row>
    <row r="28" spans="1:6" x14ac:dyDescent="0.4">
      <c r="A28" t="s">
        <v>169</v>
      </c>
      <c r="B28" t="s">
        <v>108</v>
      </c>
      <c r="C28" t="s">
        <v>117</v>
      </c>
      <c r="E28" t="s">
        <v>35</v>
      </c>
    </row>
    <row r="29" spans="1:6" x14ac:dyDescent="0.4">
      <c r="A29" t="s">
        <v>172</v>
      </c>
      <c r="C29" t="s">
        <v>113</v>
      </c>
      <c r="E29" t="s">
        <v>37</v>
      </c>
    </row>
    <row r="30" spans="1:6" x14ac:dyDescent="0.4">
      <c r="A30" t="s">
        <v>173</v>
      </c>
      <c r="C30" t="s">
        <v>119</v>
      </c>
      <c r="E30" t="s">
        <v>166</v>
      </c>
    </row>
    <row r="31" spans="1:6" x14ac:dyDescent="0.4">
      <c r="A31" t="s">
        <v>176</v>
      </c>
      <c r="C31" t="s">
        <v>53</v>
      </c>
      <c r="E31" t="s">
        <v>79</v>
      </c>
    </row>
    <row r="32" spans="1:6" x14ac:dyDescent="0.4">
      <c r="A32" t="s">
        <v>197</v>
      </c>
    </row>
    <row r="33" spans="1:1" x14ac:dyDescent="0.4">
      <c r="A33" t="s">
        <v>198</v>
      </c>
    </row>
  </sheetData>
  <sortState xmlns:xlrd2="http://schemas.microsoft.com/office/spreadsheetml/2017/richdata2" ref="A2:A33">
    <sortCondition ref="A2:A33"/>
  </sortState>
  <phoneticPr fontId="1"/>
  <pageMargins left="0.7" right="0.7" top="0.75" bottom="0.75" header="0.3" footer="0.3"/>
  <pageSetup paperSize="9" scale="83"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200D6-4D70-459B-AC75-C49C22E7C2C3}">
  <dimension ref="A1:B2"/>
  <sheetViews>
    <sheetView workbookViewId="0"/>
  </sheetViews>
  <sheetFormatPr defaultRowHeight="18.75" x14ac:dyDescent="0.4"/>
  <cols>
    <col min="1" max="1" width="12" customWidth="1"/>
    <col min="2" max="2" width="19.25" bestFit="1" customWidth="1"/>
  </cols>
  <sheetData>
    <row r="1" spans="1:2" x14ac:dyDescent="0.4">
      <c r="A1" t="s">
        <v>11</v>
      </c>
      <c r="B1" s="1"/>
    </row>
    <row r="2" spans="1:2" x14ac:dyDescent="0.4">
      <c r="A2" s="1">
        <v>36617</v>
      </c>
      <c r="B2" t="s">
        <v>40</v>
      </c>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1</vt:i4>
      </vt:variant>
    </vt:vector>
  </HeadingPairs>
  <TitlesOfParts>
    <vt:vector size="4" baseType="lpstr">
      <vt:lpstr>職務経歴</vt:lpstr>
      <vt:lpstr>マスタ</vt:lpstr>
      <vt:lpstr>誕生日</vt:lpstr>
      <vt:lpstr>職務経歴!Print_Area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Ken</dc:creator>
  <cp:keywords/>
  <dc:description/>
  <cp:lastModifiedBy>蛍 奈良岡</cp:lastModifiedBy>
  <cp:revision/>
  <cp:lastPrinted>2026-02-24T13:30:45Z</cp:lastPrinted>
  <dcterms:created xsi:type="dcterms:W3CDTF">2020-08-26T02:30:56Z</dcterms:created>
  <dcterms:modified xsi:type="dcterms:W3CDTF">2026-07-20T21:12:42Z</dcterms:modified>
  <cp:category/>
  <cp:contentStatus/>
</cp:coreProperties>
</file>